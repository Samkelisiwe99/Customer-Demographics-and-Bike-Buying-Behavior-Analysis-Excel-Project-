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5F1BC2BDE994CAEC/Documents/"/>
    </mc:Choice>
  </mc:AlternateContent>
  <xr:revisionPtr revIDLastSave="579" documentId="8_{DD09D02D-026A-49F7-92EA-605BA29900B9}" xr6:coauthVersionLast="47" xr6:coauthVersionMax="47" xr10:uidLastSave="{EA96C4DA-4B57-4049-B6E3-3906E6E43DAF}"/>
  <bookViews>
    <workbookView xWindow="-120" yWindow="-120" windowWidth="20730" windowHeight="1104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definedName>
    <definedName name="Slicer_Cars">#N/A</definedName>
    <definedName name="Slicer_Education">#N/A</definedName>
    <definedName name="Slicer_Marital_Status">#N/A</definedName>
  </definedNames>
  <calcPr calcId="191029"/>
  <pivotCaches>
    <pivotCache cacheId="4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4" i="4" l="1"/>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3" i="4"/>
  <c r="M4" i="4"/>
  <c r="M5" i="4"/>
  <c r="M6" i="4"/>
  <c r="M7" i="4"/>
  <c r="M8" i="4"/>
  <c r="M9" i="4"/>
  <c r="M10" i="4"/>
  <c r="M11" i="4"/>
  <c r="M12" i="4"/>
  <c r="M13"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<sst xmlns="http://schemas.openxmlformats.org/spreadsheetml/2006/main" count="16267" uniqueCount="51">
  <si>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</si>
  <si>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</si>
  <si>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</si>
  <si>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</si>
  <si>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</si>
  <si>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</si>
  <si>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</si>
  <si>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</si>
  <si>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</si>
  <si>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</si>
  <si>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</si>
  <si>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</si>
  <si>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</si>
  <si>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</si>
  <si>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</si>
  <si>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</si>
  <si>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</si>
  <si>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</si>
  <si>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</si>
  <si>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</si>
  <si>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</si>
  <si>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</si>
  <si>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</si>
  <si>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</si>
  <si>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</si>
  <si>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</si>
  <si>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</si>
  <si>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</si>
  <si>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</si>
  <si>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</si>
  <si>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</si>
  <si>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</si>
  <si>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</si>
  <si>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</si>
  <si>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</si>
  <si>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</si>
  <si>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</si>
  <si>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</si>
  <si>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</si>
  <si>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</si>
  <si>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Range</t>
  </si>
  <si>
    <t>Average of Income</t>
  </si>
  <si>
    <t>Column Labels</t>
  </si>
  <si>
    <t>Grand Total</t>
  </si>
  <si>
    <t>Row Labels</t>
  </si>
  <si>
    <t>Count of Purchased Bike</t>
  </si>
  <si>
    <t>More than 10 Miles</t>
  </si>
  <si>
    <t>Middle Age</t>
  </si>
  <si>
    <t>Old</t>
  </si>
  <si>
    <t>Young Adult</t>
  </si>
  <si>
    <t>Bike Purchase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</si>
</sst>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4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0" fontId="16" fillId="0" borderId="0" xfId="0" applyFont="1"/>
    <xf numFmtId="165" fontId="16" fillId="0" borderId="0" xfId="0" applyNumberFormat="1" applyFont="1"/>
    <xf numFmtId="165" fontId="0" fillId="0" borderId="0" xfId="0" applyNumberFormat="1"/>
    <xf numFmtId="0" fontId="0" fillId="0" borderId="0" xfId="0" pivotButton="1"/>
    <xf numFmtId="0" fontId="0" fillId="0" borderId="0" xfId="0" applyAlignment="1">
      <alignment horizontal="left"/>
    </xf>
    <xf numFmtId="0" fontId="0" fillId="33" borderId="0" xfId="0" applyFill="1"/>
    <xf numFmtId="0" fontId="19" fillId="33" borderId="0" xfId="0" applyFont="1" applyFill="1" applyAlignment="1">
      <alignment horizontal="center"/>
    </xf>
    <xf numFmtId="0" fontId="0" fillId="33" borderId="0" xfId="0"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[Bike_Buyers_Excel Project Dataset.xlsx]Pivot table!PivotTable1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ZA"/>
              <a:t>Average income per gender</a:t>
            </a:r>
          </a:p>
          <a:p>
            <a:pPr>
              <a:defRPr/>
            </a:pPr>
            <a:endParaRPr lang="en-ZA"/>
          </a:p>
        </c:rich>
      </c:tx>
      <c:layout>
        <c:manualLayout>
          <c:xMode val="edge"/>
          <c:yMode val="edge"/>
          <c:x val="0.28009011373578308"/>
          <c:y val="3.6089238845144378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3449256342957"/>
          <c:y val="0.14249781277340332"/>
          <c:w val="0.62987729658792646"/>
          <c:h val="0.65853091280256637"/>
        </c:manualLayout>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table'!$A$5:$A$7</c:f>
              <c:strCache>
                <c:ptCount val="2"/>
                <c:pt idx="0">
                  <c:v>Female</c:v>
                </c:pt>
                <c:pt idx="1">
                  <c:v>Male</c:v>
                </c:pt>
              </c:strCache>
            </c:strRef>
          </c:cat>
          <c:val>
            <c:numRef>
              <c:f>'Pivot table'!$B$5:$B$7</c:f>
              <c:numCache>
                <c:formatCode>[$$-409]#\ ##0</c:formatCode>
                <c:ptCount val="2"/>
                <c:pt idx="0">
                  <c:v>53440</c:v>
                </c:pt>
                <c:pt idx="1">
                  <c:v>56208.178438661707</c:v>
                </c:pt>
              </c:numCache>
            </c:numRef>
          </c:val>
          <c:extLst>
            <c:ext xmlns:c16="http://schemas.microsoft.com/office/drawing/2014/chart" uri="{C3380CC4-5D6E-409C-BE32-E72D297353CC}">
              <c16:uniqueId val="{00000000-8FC8-4990-8C9E-6B3856DC388F}"/>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 table'!$A$5:$A$7</c:f>
              <c:strCache>
                <c:ptCount val="2"/>
                <c:pt idx="0">
                  <c:v>Female</c:v>
                </c:pt>
                <c:pt idx="1">
                  <c:v>Male</c:v>
                </c:pt>
              </c:strCache>
            </c:strRef>
          </c:cat>
          <c:val>
            <c:numRef>
              <c:f>'Pivot table'!$C$5:$C$7</c:f>
              <c:numCache>
                <c:formatCode>[$$-409]#\ ##0</c:formatCode>
                <c:ptCount val="2"/>
                <c:pt idx="0">
                  <c:v>55774.058577405856</c:v>
                </c:pt>
                <c:pt idx="1">
                  <c:v>60123.966942148763</c:v>
                </c:pt>
              </c:numCache>
            </c:numRef>
          </c:val>
          <c:extLst>
            <c:ext xmlns:c16="http://schemas.microsoft.com/office/drawing/2014/chart" uri="{C3380CC4-5D6E-409C-BE32-E72D297353CC}">
              <c16:uniqueId val="{00000001-8FC8-4990-8C9E-6B3856DC388F}"/>
            </c:ext>
          </c:extLst>
        </c:ser>
        <c:dLbls>
          <c:showLegendKey val="0"/>
          <c:showVal val="0"/>
          <c:showCatName val="0"/>
          <c:showSerName val="0"/>
          <c:showPercent val="0"/>
          <c:showBubbleSize val="0"/>
        </c:dLbls>
        <c:gapWidth val="100"/>
        <c:overlap val="-24"/>
        <c:axId val="1106955264"/>
        <c:axId val="1106959104"/>
      </c:barChart>
      <c:catAx>
        <c:axId val="110695526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ZA"/>
                  <a:t>Gender</a:t>
                </a:r>
              </a:p>
              <a:p>
                <a:pPr>
                  <a:defRPr/>
                </a:pPr>
                <a:endParaRPr lang="en-ZA"/>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06959104"/>
        <c:crosses val="autoZero"/>
        <c:auto val="1"/>
        <c:lblAlgn val="ctr"/>
        <c:lblOffset val="100"/>
        <c:noMultiLvlLbl val="0"/>
      </c:catAx>
      <c:valAx>
        <c:axId val="1106959104"/>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ZA" baseline="0"/>
                  <a:t> Average Income</a:t>
                </a:r>
                <a:endParaRPr lang="en-ZA"/>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ZA"/>
            </a:p>
          </c:txPr>
        </c:title>
        <c:numFmt formatCode="[$$-4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06955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Bike Purchases as per Customer Commute</a:t>
            </a:r>
          </a:p>
        </c:rich>
      </c:tx>
      <c:layout>
        <c:manualLayout>
          <c:xMode val="edge"/>
          <c:yMode val="edge"/>
          <c:x val="0.28158333333333335"/>
          <c:y val="1.74978127734033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692038495188095E-2"/>
          <c:y val="0.13786818314377369"/>
          <c:w val="0.6735301837270341"/>
          <c:h val="0.65853091280256637"/>
        </c:manualLayout>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0F5-4E8F-8626-7E313FEB0FBA}"/>
            </c:ext>
          </c:extLst>
        </c:ser>
        <c:ser>
          <c:idx val="1"/>
          <c:order val="1"/>
          <c:tx>
            <c:strRef>
              <c:f>'Pivot table'!$C$19:$C$20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0F5-4E8F-8626-7E313FEB0FBA}"/>
            </c:ext>
          </c:extLst>
        </c:ser>
        <c:dLbls>
          <c:showLegendKey val="0"/>
          <c:showVal val="0"/>
          <c:showCatName val="0"/>
          <c:showSerName val="0"/>
          <c:showPercent val="0"/>
          <c:showBubbleSize val="0"/>
        </c:dLbls>
        <c:marker val="1"/>
        <c:smooth val="0"/>
        <c:axId val="1495697248"/>
        <c:axId val="1495698688"/>
      </c:lineChart>
      <c:catAx>
        <c:axId val="149569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698688"/>
        <c:crosses val="autoZero"/>
        <c:auto val="1"/>
        <c:lblAlgn val="ctr"/>
        <c:lblOffset val="100"/>
        <c:noMultiLvlLbl val="0"/>
      </c:catAx>
      <c:valAx>
        <c:axId val="1495698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69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Purchaces as per Age Range</a:t>
            </a:r>
          </a:p>
          <a:p>
            <a:pPr>
              <a:defRPr/>
            </a:pPr>
            <a:endParaRPr lang="en-US"/>
          </a:p>
        </c:rich>
      </c:tx>
      <c:layout>
        <c:manualLayout>
          <c:xMode val="edge"/>
          <c:yMode val="edge"/>
          <c:x val="0.29943744531933503"/>
          <c:y val="1.28681831437736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70652887139105"/>
          <c:y val="8.231247252844677E-2"/>
          <c:w val="0.63041841644794405"/>
          <c:h val="0.75010279965004378"/>
        </c:manualLayout>
      </c:layout>
      <c:barChart>
        <c:barDir val="bar"/>
        <c:grouping val="clustered"/>
        <c:varyColors val="0"/>
        <c:ser>
          <c:idx val="0"/>
          <c:order val="0"/>
          <c:tx>
            <c:strRef>
              <c:f>'Pivot table'!$B$35:$B$36</c:f>
              <c:strCache>
                <c:ptCount val="1"/>
                <c:pt idx="0">
                  <c:v>No</c:v>
                </c:pt>
              </c:strCache>
            </c:strRef>
          </c:tx>
          <c:spPr>
            <a:solidFill>
              <a:schemeClr val="accent1"/>
            </a:solidFill>
            <a:ln>
              <a:noFill/>
            </a:ln>
            <a:effectLst/>
          </c:spPr>
          <c:invertIfNegative val="0"/>
          <c:cat>
            <c:strRef>
              <c:f>'Pivot table'!$A$37:$A$40</c:f>
              <c:strCache>
                <c:ptCount val="3"/>
                <c:pt idx="0">
                  <c:v>Middle Age</c:v>
                </c:pt>
                <c:pt idx="1">
                  <c:v>Old</c:v>
                </c:pt>
                <c:pt idx="2">
                  <c:v>Young Adult</c:v>
                </c:pt>
              </c:strCache>
            </c:strRef>
          </c:cat>
          <c:val>
            <c:numRef>
              <c:f>'Pivot table'!$B$37:$B$40</c:f>
              <c:numCache>
                <c:formatCode>General</c:formatCode>
                <c:ptCount val="3"/>
                <c:pt idx="0">
                  <c:v>293</c:v>
                </c:pt>
                <c:pt idx="1">
                  <c:v>178</c:v>
                </c:pt>
                <c:pt idx="2">
                  <c:v>48</c:v>
                </c:pt>
              </c:numCache>
            </c:numRef>
          </c:val>
          <c:extLst>
            <c:ext xmlns:c16="http://schemas.microsoft.com/office/drawing/2014/chart" uri="{C3380CC4-5D6E-409C-BE32-E72D297353CC}">
              <c16:uniqueId val="{00000000-09D1-40E2-8D85-C6405E9581B3}"/>
            </c:ext>
          </c:extLst>
        </c:ser>
        <c:ser>
          <c:idx val="1"/>
          <c:order val="1"/>
          <c:tx>
            <c:strRef>
              <c:f>'Pivot table'!$C$35:$C$36</c:f>
              <c:strCache>
                <c:ptCount val="1"/>
                <c:pt idx="0">
                  <c:v>Yes</c:v>
                </c:pt>
              </c:strCache>
            </c:strRef>
          </c:tx>
          <c:spPr>
            <a:solidFill>
              <a:schemeClr val="accent2"/>
            </a:solidFill>
            <a:ln>
              <a:noFill/>
            </a:ln>
            <a:effectLst/>
          </c:spPr>
          <c:invertIfNegative val="0"/>
          <c:cat>
            <c:strRef>
              <c:f>'Pivot table'!$A$37:$A$40</c:f>
              <c:strCache>
                <c:ptCount val="3"/>
                <c:pt idx="0">
                  <c:v>Middle Age</c:v>
                </c:pt>
                <c:pt idx="1">
                  <c:v>Old</c:v>
                </c:pt>
                <c:pt idx="2">
                  <c:v>Young Adult</c:v>
                </c:pt>
              </c:strCache>
            </c:strRef>
          </c:cat>
          <c:val>
            <c:numRef>
              <c:f>'Pivot table'!$C$37:$C$40</c:f>
              <c:numCache>
                <c:formatCode>General</c:formatCode>
                <c:ptCount val="3"/>
                <c:pt idx="0">
                  <c:v>324</c:v>
                </c:pt>
                <c:pt idx="1">
                  <c:v>122</c:v>
                </c:pt>
                <c:pt idx="2">
                  <c:v>35</c:v>
                </c:pt>
              </c:numCache>
            </c:numRef>
          </c:val>
          <c:extLst>
            <c:ext xmlns:c16="http://schemas.microsoft.com/office/drawing/2014/chart" uri="{C3380CC4-5D6E-409C-BE32-E72D297353CC}">
              <c16:uniqueId val="{00000001-09D1-40E2-8D85-C6405E9581B3}"/>
            </c:ext>
          </c:extLst>
        </c:ser>
        <c:dLbls>
          <c:showLegendKey val="0"/>
          <c:showVal val="0"/>
          <c:showCatName val="0"/>
          <c:showSerName val="0"/>
          <c:showPercent val="0"/>
          <c:showBubbleSize val="0"/>
        </c:dLbls>
        <c:gapWidth val="182"/>
        <c:axId val="1358079520"/>
        <c:axId val="1358077120"/>
      </c:barChart>
      <c:catAx>
        <c:axId val="13580795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 Range</a:t>
                </a:r>
              </a:p>
            </c:rich>
          </c:tx>
          <c:layout>
            <c:manualLayout>
              <c:xMode val="edge"/>
              <c:yMode val="edge"/>
              <c:x val="0.20429155730533685"/>
              <c:y val="0.4518777340332459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077120"/>
        <c:crosses val="autoZero"/>
        <c:auto val="1"/>
        <c:lblAlgn val="ctr"/>
        <c:lblOffset val="100"/>
        <c:noMultiLvlLbl val="0"/>
      </c:catAx>
      <c:valAx>
        <c:axId val="13580771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a:p>
                <a:pPr>
                  <a:defRPr/>
                </a:pPr>
                <a:r>
                  <a:rPr lang="en-ZA"/>
                  <a:t>Count of Purchased Bikes</a:t>
                </a:r>
              </a:p>
              <a:p>
                <a:pPr>
                  <a:defRPr/>
                </a:pPr>
                <a:endParaRPr lang="en-ZA"/>
              </a:p>
            </c:rich>
          </c:tx>
          <c:layout>
            <c:manualLayout>
              <c:xMode val="edge"/>
              <c:yMode val="edge"/>
              <c:x val="0.43634575951443572"/>
              <c:y val="0.8893040664275765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079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[Bike_Buyers_Excel Project Dataset.xlsx]Pivot table!PivotTable1</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ZA"/>
              <a:t>Average income per gender</a:t>
            </a:r>
          </a:p>
          <a:p>
            <a:pPr>
              <a:defRPr/>
            </a:pPr>
            <a:endParaRPr lang="en-ZA"/>
          </a:p>
        </c:rich>
      </c:tx>
      <c:layout>
        <c:manualLayout>
          <c:xMode val="edge"/>
          <c:yMode val="edge"/>
          <c:x val="0.28009011373578308"/>
          <c:y val="3.6089238845144378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3449256342957"/>
          <c:y val="0.14249781277340332"/>
          <c:w val="0.62987729658792646"/>
          <c:h val="0.65853091280256637"/>
        </c:manualLayout>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table'!$A$5:$A$7</c:f>
              <c:strCache>
                <c:ptCount val="2"/>
                <c:pt idx="0">
                  <c:v>Female</c:v>
                </c:pt>
                <c:pt idx="1">
                  <c:v>Male</c:v>
                </c:pt>
              </c:strCache>
            </c:strRef>
          </c:cat>
          <c:val>
            <c:numRef>
              <c:f>'Pivot table'!$B$5:$B$7</c:f>
              <c:numCache>
                <c:formatCode>[$$-409]#\ ##0</c:formatCode>
                <c:ptCount val="2"/>
                <c:pt idx="0">
                  <c:v>53440</c:v>
                </c:pt>
                <c:pt idx="1">
                  <c:v>56208.178438661707</c:v>
                </c:pt>
              </c:numCache>
            </c:numRef>
          </c:val>
          <c:extLst>
            <c:ext xmlns:c16="http://schemas.microsoft.com/office/drawing/2014/chart" uri="{C3380CC4-5D6E-409C-BE32-E72D297353CC}">
              <c16:uniqueId val="{00000000-783D-481D-BA05-0D20343732F7}"/>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 table'!$A$5:$A$7</c:f>
              <c:strCache>
                <c:ptCount val="2"/>
                <c:pt idx="0">
                  <c:v>Female</c:v>
                </c:pt>
                <c:pt idx="1">
                  <c:v>Male</c:v>
                </c:pt>
              </c:strCache>
            </c:strRef>
          </c:cat>
          <c:val>
            <c:numRef>
              <c:f>'Pivot table'!$C$5:$C$7</c:f>
              <c:numCache>
                <c:formatCode>[$$-409]#\ ##0</c:formatCode>
                <c:ptCount val="2"/>
                <c:pt idx="0">
                  <c:v>55774.058577405856</c:v>
                </c:pt>
                <c:pt idx="1">
                  <c:v>60123.966942148763</c:v>
                </c:pt>
              </c:numCache>
            </c:numRef>
          </c:val>
          <c:extLst>
            <c:ext xmlns:c16="http://schemas.microsoft.com/office/drawing/2014/chart" uri="{C3380CC4-5D6E-409C-BE32-E72D297353CC}">
              <c16:uniqueId val="{00000001-783D-481D-BA05-0D20343732F7}"/>
            </c:ext>
          </c:extLst>
        </c:ser>
        <c:dLbls>
          <c:showLegendKey val="0"/>
          <c:showVal val="0"/>
          <c:showCatName val="0"/>
          <c:showSerName val="0"/>
          <c:showPercent val="0"/>
          <c:showBubbleSize val="0"/>
        </c:dLbls>
        <c:gapWidth val="100"/>
        <c:overlap val="-24"/>
        <c:axId val="1106955264"/>
        <c:axId val="1106959104"/>
      </c:barChart>
      <c:catAx>
        <c:axId val="110695526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ZA"/>
                  <a:t>Gender</a:t>
                </a:r>
              </a:p>
              <a:p>
                <a:pPr>
                  <a:defRPr/>
                </a:pPr>
                <a:endParaRPr lang="en-ZA"/>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06959104"/>
        <c:crosses val="autoZero"/>
        <c:auto val="1"/>
        <c:lblAlgn val="ctr"/>
        <c:lblOffset val="100"/>
        <c:noMultiLvlLbl val="0"/>
      </c:catAx>
      <c:valAx>
        <c:axId val="1106959104"/>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ZA" baseline="0"/>
                  <a:t> Average Income</a:t>
                </a:r>
                <a:endParaRPr lang="en-ZA"/>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ZA"/>
            </a:p>
          </c:txPr>
        </c:title>
        <c:numFmt formatCode="[$$-4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06955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[Bike_Buyers_Excel Project Dataset.xlsx]Pivot table!PivotTable2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Bike Purchases as per Customer Commute</a:t>
            </a:r>
          </a:p>
        </c:rich>
      </c:tx>
      <c:layout>
        <c:manualLayout>
          <c:xMode val="edge"/>
          <c:yMode val="edge"/>
          <c:x val="0.28158333333333335"/>
          <c:y val="1.74978127734033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70149737644825"/>
          <c:y val="0.12759969130150214"/>
          <c:w val="0.6735301837270341"/>
          <c:h val="0.65853091280256637"/>
        </c:manualLayout>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F01-4786-BDB8-BD881B1B09F6}"/>
            </c:ext>
          </c:extLst>
        </c:ser>
        <c:ser>
          <c:idx val="1"/>
          <c:order val="1"/>
          <c:tx>
            <c:strRef>
              <c:f>'Pivot table'!$C$19:$C$20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F01-4786-BDB8-BD881B1B09F6}"/>
            </c:ext>
          </c:extLst>
        </c:ser>
        <c:dLbls>
          <c:showLegendKey val="0"/>
          <c:showVal val="0"/>
          <c:showCatName val="0"/>
          <c:showSerName val="0"/>
          <c:showPercent val="0"/>
          <c:showBubbleSize val="0"/>
        </c:dLbls>
        <c:marker val="1"/>
        <c:smooth val="0"/>
        <c:axId val="1495697248"/>
        <c:axId val="1495698688"/>
      </c:lineChart>
      <c:catAx>
        <c:axId val="149569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698688"/>
        <c:crosses val="autoZero"/>
        <c:auto val="1"/>
        <c:lblAlgn val="ctr"/>
        <c:lblOffset val="100"/>
        <c:noMultiLvlLbl val="0"/>
      </c:catAx>
      <c:valAx>
        <c:axId val="1495698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69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[Bike_Buyers_Excel Project Dataset.xlsx]Pivot 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Purchaces as per Age Range</a:t>
            </a:r>
          </a:p>
          <a:p>
            <a:pPr>
              <a:defRPr/>
            </a:pPr>
            <a:endParaRPr lang="en-US"/>
          </a:p>
        </c:rich>
      </c:tx>
      <c:layout>
        <c:manualLayout>
          <c:xMode val="edge"/>
          <c:yMode val="edge"/>
          <c:x val="0.29943744531933503"/>
          <c:y val="1.28681831437736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70652887139105"/>
          <c:y val="8.231247252844677E-2"/>
          <c:w val="0.63041841644794405"/>
          <c:h val="0.75010279965004378"/>
        </c:manualLayout>
      </c:layout>
      <c:barChart>
        <c:barDir val="bar"/>
        <c:grouping val="clustered"/>
        <c:varyColors val="0"/>
        <c:ser>
          <c:idx val="0"/>
          <c:order val="0"/>
          <c:tx>
            <c:strRef>
              <c:f>'Pivot table'!$B$35:$B$36</c:f>
              <c:strCache>
                <c:ptCount val="1"/>
                <c:pt idx="0">
                  <c:v>No</c:v>
                </c:pt>
              </c:strCache>
            </c:strRef>
          </c:tx>
          <c:spPr>
            <a:solidFill>
              <a:schemeClr val="accent1"/>
            </a:solidFill>
            <a:ln>
              <a:noFill/>
            </a:ln>
            <a:effectLst/>
          </c:spPr>
          <c:invertIfNegative val="0"/>
          <c:cat>
            <c:strRef>
              <c:f>'Pivot table'!$A$37:$A$40</c:f>
              <c:strCache>
                <c:ptCount val="3"/>
                <c:pt idx="0">
                  <c:v>Middle Age</c:v>
                </c:pt>
                <c:pt idx="1">
                  <c:v>Old</c:v>
                </c:pt>
                <c:pt idx="2">
                  <c:v>Young Adult</c:v>
                </c:pt>
              </c:strCache>
            </c:strRef>
          </c:cat>
          <c:val>
            <c:numRef>
              <c:f>'Pivot table'!$B$37:$B$40</c:f>
              <c:numCache>
                <c:formatCode>General</c:formatCode>
                <c:ptCount val="3"/>
                <c:pt idx="0">
                  <c:v>293</c:v>
                </c:pt>
                <c:pt idx="1">
                  <c:v>178</c:v>
                </c:pt>
                <c:pt idx="2">
                  <c:v>48</c:v>
                </c:pt>
              </c:numCache>
            </c:numRef>
          </c:val>
          <c:extLst>
            <c:ext xmlns:c16="http://schemas.microsoft.com/office/drawing/2014/chart" uri="{C3380CC4-5D6E-409C-BE32-E72D297353CC}">
              <c16:uniqueId val="{00000000-438F-49CC-BB66-BE5A712E22CF}"/>
            </c:ext>
          </c:extLst>
        </c:ser>
        <c:ser>
          <c:idx val="1"/>
          <c:order val="1"/>
          <c:tx>
            <c:strRef>
              <c:f>'Pivot table'!$C$35:$C$36</c:f>
              <c:strCache>
                <c:ptCount val="1"/>
                <c:pt idx="0">
                  <c:v>Yes</c:v>
                </c:pt>
              </c:strCache>
            </c:strRef>
          </c:tx>
          <c:spPr>
            <a:solidFill>
              <a:schemeClr val="accent2"/>
            </a:solidFill>
            <a:ln>
              <a:noFill/>
            </a:ln>
            <a:effectLst/>
          </c:spPr>
          <c:invertIfNegative val="0"/>
          <c:cat>
            <c:strRef>
              <c:f>'Pivot table'!$A$37:$A$40</c:f>
              <c:strCache>
                <c:ptCount val="3"/>
                <c:pt idx="0">
                  <c:v>Middle Age</c:v>
                </c:pt>
                <c:pt idx="1">
                  <c:v>Old</c:v>
                </c:pt>
                <c:pt idx="2">
                  <c:v>Young Adult</c:v>
                </c:pt>
              </c:strCache>
            </c:strRef>
          </c:cat>
          <c:val>
            <c:numRef>
              <c:f>'Pivot table'!$C$37:$C$40</c:f>
              <c:numCache>
                <c:formatCode>General</c:formatCode>
                <c:ptCount val="3"/>
                <c:pt idx="0">
                  <c:v>324</c:v>
                </c:pt>
                <c:pt idx="1">
                  <c:v>122</c:v>
                </c:pt>
                <c:pt idx="2">
                  <c:v>35</c:v>
                </c:pt>
              </c:numCache>
            </c:numRef>
          </c:val>
          <c:extLst>
            <c:ext xmlns:c16="http://schemas.microsoft.com/office/drawing/2014/chart" uri="{C3380CC4-5D6E-409C-BE32-E72D297353CC}">
              <c16:uniqueId val="{00000001-438F-49CC-BB66-BE5A712E22CF}"/>
            </c:ext>
          </c:extLst>
        </c:ser>
        <c:dLbls>
          <c:showLegendKey val="0"/>
          <c:showVal val="0"/>
          <c:showCatName val="0"/>
          <c:showSerName val="0"/>
          <c:showPercent val="0"/>
          <c:showBubbleSize val="0"/>
        </c:dLbls>
        <c:gapWidth val="182"/>
        <c:axId val="1358079520"/>
        <c:axId val="1358077120"/>
      </c:barChart>
      <c:catAx>
        <c:axId val="13580795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 Range</a:t>
                </a:r>
              </a:p>
            </c:rich>
          </c:tx>
          <c:layout>
            <c:manualLayout>
              <c:xMode val="edge"/>
              <c:yMode val="edge"/>
              <c:x val="0.20429155730533685"/>
              <c:y val="0.4518777340332459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077120"/>
        <c:crosses val="autoZero"/>
        <c:auto val="1"/>
        <c:lblAlgn val="ctr"/>
        <c:lblOffset val="100"/>
        <c:noMultiLvlLbl val="0"/>
      </c:catAx>
      <c:valAx>
        <c:axId val="13580771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a:p>
                <a:pPr>
                  <a:defRPr/>
                </a:pPr>
                <a:r>
                  <a:rPr lang="en-ZA"/>
                  <a:t>Count of Purchased Bikes</a:t>
                </a:r>
              </a:p>
              <a:p>
                <a:pPr>
                  <a:defRPr/>
                </a:pPr>
                <a:endParaRPr lang="en-ZA"/>
              </a:p>
            </c:rich>
          </c:tx>
          <c:layout>
            <c:manualLayout>
              <c:xMode val="edge"/>
              <c:yMode val="edge"/>
              <c:x val="0.43634575951443572"/>
              <c:y val="0.8893040664275765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079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114300</xdr:colOff>
      <xdr:row>1</xdr:row>
      <xdr:rowOff>14287</xdr:rowOff>
    </xdr:from>
    <xdr:to>
      <xdr:col>11</xdr:col>
      <xdr:colOff>419100</xdr:colOff>
      <xdr:row>15</xdr:row>
      <xdr:rowOff>90487</xdr:rowOff>
    </xdr:to>
    <xdr:graphicFrame macro="">
      <xdr:nvGraphicFramePr>
        <xdr:cNvPr id="2" name="Chart 1">
          <a:extLst>
            <a:ext uri="{FF2B5EF4-FFF2-40B4-BE49-F238E27FC236}">
              <a16:creationId xmlns:a16="http://schemas.microsoft.com/office/drawing/2014/main" id="{B62A0D9C-08E5-7DF2-7333-071832B4B8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16</xdr:row>
      <xdr:rowOff>33337</xdr:rowOff>
    </xdr:from>
    <xdr:to>
      <xdr:col>11</xdr:col>
      <xdr:colOff>447675</xdr:colOff>
      <xdr:row>30</xdr:row>
      <xdr:rowOff>109537</xdr:rowOff>
    </xdr:to>
    <xdr:graphicFrame macro="">
      <xdr:nvGraphicFramePr>
        <xdr:cNvPr id="3" name="Chart 2">
          <a:extLst>
            <a:ext uri="{FF2B5EF4-FFF2-40B4-BE49-F238E27FC236}">
              <a16:creationId xmlns:a16="http://schemas.microsoft.com/office/drawing/2014/main" id="{6D585073-83A7-A3E4-82CC-857ADA458D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114299</xdr:colOff>
      <xdr:row>32</xdr:row>
      <xdr:rowOff>185736</xdr:rowOff>
    </xdr:from>
    <xdr:to>
      <xdr:col>15</xdr:col>
      <xdr:colOff>581024</xdr:colOff>
      <xdr:row>49</xdr:row>
      <xdr:rowOff>161925</xdr:rowOff>
    </xdr:to>
    <xdr:graphicFrame macro="">
      <xdr:nvGraphicFramePr>
        <xdr:cNvPr id="4" name="Chart 3">
          <a:extLst>
            <a:ext uri="{FF2B5EF4-FFF2-40B4-BE49-F238E27FC236}">
              <a16:creationId xmlns:a16="http://schemas.microsoft.com/office/drawing/2014/main" id="{DFBD35E3-D12C-EEEA-D052-82962DAE78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190285</xdr:rowOff>
    </xdr:from>
    <xdr:to>
      <xdr:col>6</xdr:col>
      <xdr:colOff>588623</xdr:colOff>
      <xdr:row>18</xdr:row>
      <xdr:rowOff>0</xdr:rowOff>
    </xdr:to>
    <xdr:graphicFrame macro="">
      <xdr:nvGraphicFramePr>
        <xdr:cNvPr id="3" name="Chart 2">
          <a:extLst>
            <a:ext uri="{FF2B5EF4-FFF2-40B4-BE49-F238E27FC236}">
              <a16:creationId xmlns:a16="http://schemas.microsoft.com/office/drawing/2014/main" id="{A6AADF79-0F7C-4C5A-894D-C007DBD56C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588624</xdr:colOff>
      <xdr:row>4</xdr:row>
      <xdr:rowOff>192639</xdr:rowOff>
    </xdr:from>
    <xdr:to>
      <xdr:col>13</xdr:col>
      <xdr:colOff>550096</xdr:colOff>
      <xdr:row>17</xdr:row>
      <xdr:rowOff>161924</xdr:rowOff>
    </xdr:to>
    <xdr:graphicFrame macro="">
      <xdr:nvGraphicFramePr>
        <xdr:cNvPr id="5" name="Chart 4">
          <a:extLst>
            <a:ext uri="{FF2B5EF4-FFF2-40B4-BE49-F238E27FC236}">
              <a16:creationId xmlns:a16="http://schemas.microsoft.com/office/drawing/2014/main" id="{A29B9D3B-0561-49F6-871F-418B519F6E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139128</xdr:rowOff>
    </xdr:from>
    <xdr:to>
      <xdr:col>13</xdr:col>
      <xdr:colOff>535113</xdr:colOff>
      <xdr:row>34</xdr:row>
      <xdr:rowOff>113177</xdr:rowOff>
    </xdr:to>
    <xdr:graphicFrame macro="">
      <xdr:nvGraphicFramePr>
        <xdr:cNvPr id="7" name="Chart 6">
          <a:extLst>
            <a:ext uri="{FF2B5EF4-FFF2-40B4-BE49-F238E27FC236}">
              <a16:creationId xmlns:a16="http://schemas.microsoft.com/office/drawing/2014/main" id="{75C5F271-CB3A-4463-9DC3-114054D290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558444</xdr:colOff>
      <xdr:row>3</xdr:row>
      <xdr:rowOff>107023</xdr:rowOff>
    </xdr:from>
    <xdr:to>
      <xdr:col>16</xdr:col>
      <xdr:colOff>557160</xdr:colOff>
      <xdr:row>8</xdr:row>
      <xdr:rowOff>171236</xdr:rowOff>
    </xdr:to>
    <mc:AlternateContent xmlns:mc="http://schemas.openxmlformats.org/markup-compatibility/2006" xmlns:a14="http://schemas.microsoft.com/office/drawing/2010/main">
      <mc:Choice Requires="a14">
        <xdr:graphicFrame macro="">
          <xdr:nvGraphicFramePr>
            <xdr:cNvPr id="8" name="Marital Status">
              <a:extLst>
                <a:ext uri="{FF2B5EF4-FFF2-40B4-BE49-F238E27FC236}">
                  <a16:creationId xmlns:a16="http://schemas.microsoft.com/office/drawing/2014/main" id="{CCB6FD0B-B2D2-C44C-A85F-D2382BAFC95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8488809" y="684944"/>
              <a:ext cx="1828800" cy="1027416"/>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569145</xdr:colOff>
      <xdr:row>9</xdr:row>
      <xdr:rowOff>27506</xdr:rowOff>
    </xdr:from>
    <xdr:to>
      <xdr:col>16</xdr:col>
      <xdr:colOff>567861</xdr:colOff>
      <xdr:row>17</xdr:row>
      <xdr:rowOff>139130</xdr:rowOff>
    </xdr:to>
    <mc:AlternateContent xmlns:mc="http://schemas.openxmlformats.org/markup-compatibility/2006" xmlns:a14="http://schemas.microsoft.com/office/drawing/2010/main">
      <mc:Choice Requires="a14">
        <xdr:graphicFrame macro="">
          <xdr:nvGraphicFramePr>
            <xdr:cNvPr id="9" name="Cars">
              <a:extLst>
                <a:ext uri="{FF2B5EF4-FFF2-40B4-BE49-F238E27FC236}">
                  <a16:creationId xmlns:a16="http://schemas.microsoft.com/office/drawing/2014/main" id="{A2531AA7-ACDF-3A93-0C65-FAB0BBEE428B}"/>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mlns="">
        <xdr:sp macro="" textlink="">
          <xdr:nvSpPr>
            <xdr:cNvPr id="0" name=""/>
            <xdr:cNvSpPr>
              <a:spLocks noTextEdit="1"/>
            </xdr:cNvSpPr>
          </xdr:nvSpPr>
          <xdr:spPr>
            <a:xfrm>
              <a:off x="8499510" y="1761270"/>
              <a:ext cx="1828800" cy="1652748"/>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569146</xdr:colOff>
      <xdr:row>17</xdr:row>
      <xdr:rowOff>166634</xdr:rowOff>
    </xdr:from>
    <xdr:to>
      <xdr:col>16</xdr:col>
      <xdr:colOff>567862</xdr:colOff>
      <xdr:row>26</xdr:row>
      <xdr:rowOff>107023</xdr:rowOff>
    </xdr:to>
    <mc:AlternateContent xmlns:mc="http://schemas.openxmlformats.org/markup-compatibility/2006" xmlns:a14="http://schemas.microsoft.com/office/drawing/2010/main">
      <mc:Choice Requires="a14">
        <xdr:graphicFrame macro="">
          <xdr:nvGraphicFramePr>
            <xdr:cNvPr id="10" name="Education">
              <a:extLst>
                <a:ext uri="{FF2B5EF4-FFF2-40B4-BE49-F238E27FC236}">
                  <a16:creationId xmlns:a16="http://schemas.microsoft.com/office/drawing/2014/main" id="{6FBFCC72-2182-E280-0C3F-86557480678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8499511" y="3441522"/>
              <a:ext cx="1828800" cy="1674153"/>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kelisiwe Mtsweni" refreshedDate="45972.560193750003" createdVersion="8" refreshedVersion="8" minRefreshableVersion="3" recordCount="1000" xr:uid="{DA15452C-4178-466B-82AB-35007E5918CC}">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acheField>
    <cacheField name="Age" numFmtId="0">
      <sharedItems containsSemiMixedTypes="0" containsString="0" containsNumber="1" containsInteger="1" minValue="25" maxValue="89"/>
    </cacheField>
    <cacheField name="Age Range" numFmtId="0">
      <sharedItems count="3">
        <s v="Middle Age"/>
        <s v="Old"/>
        <s v="Young Adult"/>
      </sharedItems>
    </cacheField>
    <cacheField name="Purchased Bike" numFmtId="0">
      <sharedItems count="2">
        <s v="No"/>
        <s v="Yes"/>
      </sharedItems>
    </cacheField>
  </cacheFields>
  <extLst>
    <ext xmlns:x14="http://schemas.microsoft.com/office/spreadsheetml/2009/9/main" uri="{725AE2AE-9491-48be-B2B4-4EB974FC3084}">
      <x14:pivotCacheDefinition pivotCacheId="6433726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x v="0"/>
    <x v="0"/>
    <s v="Europe"/>
    <n v="42"/>
    <x v="0"/>
    <x v="0"/>
  </r>
  <r>
    <n v="24107"/>
    <x v="0"/>
    <x v="1"/>
    <n v="30000"/>
    <n v="3"/>
    <x v="1"/>
    <s v="Clerical"/>
    <s v="Yes"/>
    <x v="1"/>
    <x v="0"/>
    <s v="Europe"/>
    <n v="43"/>
    <x v="0"/>
    <x v="0"/>
  </r>
  <r>
    <n v="14177"/>
    <x v="0"/>
    <x v="1"/>
    <n v="80000"/>
    <n v="5"/>
    <x v="1"/>
    <s v="Professional"/>
    <s v="No"/>
    <x v="2"/>
    <x v="1"/>
    <s v="Europe"/>
    <n v="60"/>
    <x v="1"/>
    <x v="0"/>
  </r>
  <r>
    <n v="24381"/>
    <x v="1"/>
    <x v="1"/>
    <n v="70000"/>
    <n v="0"/>
    <x v="0"/>
    <s v="Professional"/>
    <s v="Yes"/>
    <x v="1"/>
    <x v="2"/>
    <s v="Pacific"/>
    <n v="41"/>
    <x v="0"/>
    <x v="1"/>
  </r>
  <r>
    <n v="25597"/>
    <x v="1"/>
    <x v="1"/>
    <n v="30000"/>
    <n v="0"/>
    <x v="0"/>
    <s v="Clerical"/>
    <s v="No"/>
    <x v="0"/>
    <x v="0"/>
    <s v="Europe"/>
    <n v="36"/>
    <x v="0"/>
    <x v="1"/>
  </r>
  <r>
    <n v="13507"/>
    <x v="0"/>
    <x v="0"/>
    <n v="10000"/>
    <n v="2"/>
    <x v="1"/>
    <s v="Manual"/>
    <s v="Yes"/>
    <x v="0"/>
    <x v="3"/>
    <s v="Europe"/>
    <n v="50"/>
    <x v="1"/>
    <x v="0"/>
  </r>
  <r>
    <n v="27974"/>
    <x v="1"/>
    <x v="1"/>
    <n v="160000"/>
    <n v="2"/>
    <x v="2"/>
    <s v="Management"/>
    <s v="Yes"/>
    <x v="3"/>
    <x v="0"/>
    <s v="Pacific"/>
    <n v="33"/>
    <x v="0"/>
    <x v="1"/>
  </r>
  <r>
    <n v="19364"/>
    <x v="0"/>
    <x v="1"/>
    <n v="40000"/>
    <n v="1"/>
    <x v="0"/>
    <s v="Skilled Manual"/>
    <s v="Yes"/>
    <x v="0"/>
    <x v="0"/>
    <s v="Europe"/>
    <n v="43"/>
    <x v="0"/>
    <x v="1"/>
  </r>
  <r>
    <n v="22155"/>
    <x v="0"/>
    <x v="1"/>
    <n v="20000"/>
    <n v="2"/>
    <x v="3"/>
    <s v="Clerical"/>
    <s v="Yes"/>
    <x v="2"/>
    <x v="2"/>
    <s v="Pacific"/>
    <n v="58"/>
    <x v="1"/>
    <x v="0"/>
  </r>
  <r>
    <n v="19280"/>
    <x v="0"/>
    <x v="1"/>
    <n v="120000"/>
    <n v="2"/>
    <x v="1"/>
    <s v="Manual"/>
    <s v="Yes"/>
    <x v="1"/>
    <x v="0"/>
    <s v="Europe"/>
    <n v="40"/>
    <x v="0"/>
    <x v="1"/>
  </r>
  <r>
    <n v="22173"/>
    <x v="0"/>
    <x v="0"/>
    <n v="30000"/>
    <n v="3"/>
    <x v="2"/>
    <s v="Skilled Manual"/>
    <s v="No"/>
    <x v="2"/>
    <x v="3"/>
    <s v="Pacific"/>
    <n v="54"/>
    <x v="1"/>
    <x v="1"/>
  </r>
  <r>
    <n v="12697"/>
    <x v="1"/>
    <x v="0"/>
    <n v="90000"/>
    <n v="0"/>
    <x v="0"/>
    <s v="Professional"/>
    <s v="No"/>
    <x v="3"/>
    <x v="4"/>
    <s v="Pacific"/>
    <n v="36"/>
    <x v="0"/>
    <x v="0"/>
  </r>
  <r>
    <n v="11434"/>
    <x v="0"/>
    <x v="1"/>
    <n v="170000"/>
    <n v="5"/>
    <x v="1"/>
    <s v="Professional"/>
    <s v="Yes"/>
    <x v="0"/>
    <x v="0"/>
    <s v="Europe"/>
    <n v="55"/>
    <x v="1"/>
    <x v="0"/>
  </r>
  <r>
    <n v="25323"/>
    <x v="0"/>
    <x v="1"/>
    <n v="40000"/>
    <n v="2"/>
    <x v="1"/>
    <s v="Clerical"/>
    <s v="Yes"/>
    <x v="1"/>
    <x v="3"/>
    <s v="Europe"/>
    <n v="35"/>
    <x v="0"/>
    <x v="1"/>
  </r>
  <r>
    <n v="23542"/>
    <x v="1"/>
    <x v="1"/>
    <n v="60000"/>
    <n v="1"/>
    <x v="1"/>
    <s v="Skilled Manual"/>
    <s v="No"/>
    <x v="1"/>
    <x v="0"/>
    <s v="Pacific"/>
    <n v="45"/>
    <x v="0"/>
    <x v="1"/>
  </r>
  <r>
    <n v="20870"/>
    <x v="1"/>
    <x v="0"/>
    <n v="10000"/>
    <n v="2"/>
    <x v="2"/>
    <s v="Manual"/>
    <s v="Yes"/>
    <x v="1"/>
    <x v="0"/>
    <s v="Europe"/>
    <n v="38"/>
    <x v="0"/>
    <x v="1"/>
  </r>
  <r>
    <n v="23316"/>
    <x v="1"/>
    <x v="1"/>
    <n v="30000"/>
    <n v="3"/>
    <x v="1"/>
    <s v="Clerical"/>
    <s v="No"/>
    <x v="2"/>
    <x v="3"/>
    <s v="Pacific"/>
    <n v="59"/>
    <x v="1"/>
    <x v="1"/>
  </r>
  <r>
    <n v="12610"/>
    <x v="0"/>
    <x v="0"/>
    <n v="30000"/>
    <n v="1"/>
    <x v="0"/>
    <s v="Clerical"/>
    <s v="Yes"/>
    <x v="0"/>
    <x v="0"/>
    <s v="Europe"/>
    <n v="47"/>
    <x v="0"/>
    <x v="0"/>
  </r>
  <r>
    <n v="27183"/>
    <x v="1"/>
    <x v="1"/>
    <n v="40000"/>
    <n v="2"/>
    <x v="1"/>
    <s v="Clerical"/>
    <s v="Yes"/>
    <x v="1"/>
    <x v="3"/>
    <s v="Europe"/>
    <n v="35"/>
    <x v="0"/>
    <x v="1"/>
  </r>
  <r>
    <n v="25940"/>
    <x v="1"/>
    <x v="1"/>
    <n v="20000"/>
    <n v="2"/>
    <x v="3"/>
    <s v="Clerical"/>
    <s v="Yes"/>
    <x v="2"/>
    <x v="2"/>
    <s v="Pacific"/>
    <n v="55"/>
    <x v="1"/>
    <x v="1"/>
  </r>
  <r>
    <n v="25598"/>
    <x v="0"/>
    <x v="0"/>
    <n v="40000"/>
    <n v="0"/>
    <x v="4"/>
    <s v="Clerical"/>
    <s v="Yes"/>
    <x v="0"/>
    <x v="0"/>
    <s v="Europe"/>
    <n v="36"/>
    <x v="0"/>
    <x v="1"/>
  </r>
  <r>
    <n v="21564"/>
    <x v="1"/>
    <x v="0"/>
    <n v="80000"/>
    <n v="0"/>
    <x v="0"/>
    <s v="Professional"/>
    <s v="Yes"/>
    <x v="3"/>
    <x v="4"/>
    <s v="Pacific"/>
    <n v="35"/>
    <x v="0"/>
    <x v="0"/>
  </r>
  <r>
    <n v="19193"/>
    <x v="1"/>
    <x v="1"/>
    <n v="40000"/>
    <n v="2"/>
    <x v="1"/>
    <s v="Clerical"/>
    <s v="Yes"/>
    <x v="0"/>
    <x v="3"/>
    <s v="Europe"/>
    <n v="35"/>
    <x v="0"/>
    <x v="1"/>
  </r>
  <r>
    <n v="26412"/>
    <x v="0"/>
    <x v="0"/>
    <n v="80000"/>
    <n v="5"/>
    <x v="2"/>
    <s v="Management"/>
    <s v="No"/>
    <x v="4"/>
    <x v="2"/>
    <s v="Europe"/>
    <n v="56"/>
    <x v="1"/>
    <x v="0"/>
  </r>
  <r>
    <n v="27184"/>
    <x v="1"/>
    <x v="1"/>
    <n v="40000"/>
    <n v="2"/>
    <x v="1"/>
    <s v="Clerical"/>
    <s v="No"/>
    <x v="1"/>
    <x v="0"/>
    <s v="Europe"/>
    <n v="34"/>
    <x v="0"/>
    <x v="0"/>
  </r>
  <r>
    <n v="12590"/>
    <x v="1"/>
    <x v="1"/>
    <n v="30000"/>
    <n v="1"/>
    <x v="0"/>
    <s v="Clerical"/>
    <s v="Yes"/>
    <x v="0"/>
    <x v="0"/>
    <s v="Europe"/>
    <n v="63"/>
    <x v="1"/>
    <x v="0"/>
  </r>
  <r>
    <n v="17841"/>
    <x v="1"/>
    <x v="1"/>
    <n v="30000"/>
    <n v="0"/>
    <x v="1"/>
    <s v="Clerical"/>
    <s v="No"/>
    <x v="1"/>
    <x v="0"/>
    <s v="Europe"/>
    <n v="29"/>
    <x v="2"/>
    <x v="1"/>
  </r>
  <r>
    <n v="18283"/>
    <x v="1"/>
    <x v="0"/>
    <n v="100000"/>
    <n v="0"/>
    <x v="0"/>
    <s v="Professional"/>
    <s v="No"/>
    <x v="1"/>
    <x v="2"/>
    <s v="Pacific"/>
    <n v="40"/>
    <x v="0"/>
    <x v="0"/>
  </r>
  <r>
    <n v="18299"/>
    <x v="0"/>
    <x v="1"/>
    <n v="70000"/>
    <n v="5"/>
    <x v="1"/>
    <s v="Skilled Manual"/>
    <s v="Yes"/>
    <x v="2"/>
    <x v="2"/>
    <s v="Pacific"/>
    <n v="44"/>
    <x v="0"/>
    <x v="0"/>
  </r>
  <r>
    <n v="16466"/>
    <x v="1"/>
    <x v="0"/>
    <n v="20000"/>
    <n v="0"/>
    <x v="3"/>
    <s v="Manual"/>
    <s v="No"/>
    <x v="2"/>
    <x v="0"/>
    <s v="Europe"/>
    <n v="32"/>
    <x v="0"/>
    <x v="1"/>
  </r>
  <r>
    <n v="19273"/>
    <x v="0"/>
    <x v="0"/>
    <n v="20000"/>
    <n v="2"/>
    <x v="1"/>
    <s v="Manual"/>
    <s v="Yes"/>
    <x v="0"/>
    <x v="0"/>
    <s v="Europe"/>
    <n v="63"/>
    <x v="1"/>
    <x v="0"/>
  </r>
  <r>
    <n v="22400"/>
    <x v="0"/>
    <x v="1"/>
    <n v="10000"/>
    <n v="0"/>
    <x v="1"/>
    <s v="Manual"/>
    <s v="No"/>
    <x v="1"/>
    <x v="0"/>
    <s v="Pacific"/>
    <n v="26"/>
    <x v="2"/>
    <x v="1"/>
  </r>
  <r>
    <n v="20942"/>
    <x v="1"/>
    <x v="0"/>
    <n v="20000"/>
    <n v="0"/>
    <x v="2"/>
    <s v="Manual"/>
    <s v="No"/>
    <x v="1"/>
    <x v="2"/>
    <s v="Europe"/>
    <n v="31"/>
    <x v="0"/>
    <x v="0"/>
  </r>
  <r>
    <n v="18484"/>
    <x v="1"/>
    <x v="1"/>
    <n v="80000"/>
    <n v="2"/>
    <x v="2"/>
    <s v="Skilled Manual"/>
    <s v="No"/>
    <x v="2"/>
    <x v="3"/>
    <s v="Pacific"/>
    <n v="50"/>
    <x v="1"/>
    <x v="1"/>
  </r>
  <r>
    <n v="12291"/>
    <x v="1"/>
    <x v="1"/>
    <n v="90000"/>
    <n v="5"/>
    <x v="1"/>
    <s v="Professional"/>
    <s v="No"/>
    <x v="2"/>
    <x v="1"/>
    <s v="Europe"/>
    <n v="62"/>
    <x v="1"/>
    <x v="1"/>
  </r>
  <r>
    <n v="28380"/>
    <x v="1"/>
    <x v="0"/>
    <n v="10000"/>
    <n v="5"/>
    <x v="3"/>
    <s v="Manual"/>
    <s v="No"/>
    <x v="2"/>
    <x v="0"/>
    <s v="Europe"/>
    <n v="41"/>
    <x v="0"/>
    <x v="0"/>
  </r>
  <r>
    <n v="17891"/>
    <x v="0"/>
    <x v="0"/>
    <n v="10000"/>
    <n v="2"/>
    <x v="1"/>
    <s v="Manual"/>
    <s v="Yes"/>
    <x v="1"/>
    <x v="0"/>
    <s v="Europe"/>
    <n v="50"/>
    <x v="1"/>
    <x v="1"/>
  </r>
  <r>
    <n v="27832"/>
    <x v="1"/>
    <x v="0"/>
    <n v="30000"/>
    <n v="0"/>
    <x v="1"/>
    <s v="Clerical"/>
    <s v="No"/>
    <x v="1"/>
    <x v="1"/>
    <s v="Europe"/>
    <n v="30"/>
    <x v="0"/>
    <x v="0"/>
  </r>
  <r>
    <n v="26863"/>
    <x v="1"/>
    <x v="1"/>
    <n v="20000"/>
    <n v="0"/>
    <x v="2"/>
    <s v="Manual"/>
    <s v="No"/>
    <x v="1"/>
    <x v="1"/>
    <s v="Europe"/>
    <n v="28"/>
    <x v="2"/>
    <x v="0"/>
  </r>
  <r>
    <n v="16259"/>
    <x v="1"/>
    <x v="0"/>
    <n v="10000"/>
    <n v="4"/>
    <x v="3"/>
    <s v="Manual"/>
    <s v="Yes"/>
    <x v="2"/>
    <x v="0"/>
    <s v="Europe"/>
    <n v="40"/>
    <x v="0"/>
    <x v="1"/>
  </r>
  <r>
    <n v="27803"/>
    <x v="1"/>
    <x v="0"/>
    <n v="30000"/>
    <n v="2"/>
    <x v="1"/>
    <s v="Clerical"/>
    <s v="No"/>
    <x v="0"/>
    <x v="0"/>
    <s v="Europe"/>
    <n v="43"/>
    <x v="0"/>
    <x v="0"/>
  </r>
  <r>
    <n v="14347"/>
    <x v="1"/>
    <x v="0"/>
    <n v="40000"/>
    <n v="2"/>
    <x v="0"/>
    <s v="Management"/>
    <s v="Yes"/>
    <x v="2"/>
    <x v="2"/>
    <s v="Pacific"/>
    <n v="65"/>
    <x v="1"/>
    <x v="1"/>
  </r>
  <r>
    <n v="17703"/>
    <x v="0"/>
    <x v="0"/>
    <n v="10000"/>
    <n v="1"/>
    <x v="4"/>
    <s v="Manual"/>
    <s v="Yes"/>
    <x v="0"/>
    <x v="0"/>
    <s v="Europe"/>
    <n v="40"/>
    <x v="0"/>
    <x v="0"/>
  </r>
  <r>
    <n v="17185"/>
    <x v="0"/>
    <x v="0"/>
    <n v="170000"/>
    <n v="4"/>
    <x v="1"/>
    <s v="Professional"/>
    <s v="No"/>
    <x v="4"/>
    <x v="2"/>
    <s v="Europe"/>
    <n v="48"/>
    <x v="0"/>
    <x v="1"/>
  </r>
  <r>
    <n v="29380"/>
    <x v="0"/>
    <x v="0"/>
    <n v="20000"/>
    <n v="3"/>
    <x v="2"/>
    <s v="Manual"/>
    <s v="Yes"/>
    <x v="0"/>
    <x v="0"/>
    <s v="Europe"/>
    <n v="41"/>
    <x v="0"/>
    <x v="1"/>
  </r>
  <r>
    <n v="23986"/>
    <x v="0"/>
    <x v="0"/>
    <n v="20000"/>
    <n v="1"/>
    <x v="0"/>
    <s v="Clerical"/>
    <s v="Yes"/>
    <x v="0"/>
    <x v="0"/>
    <s v="Europe"/>
    <n v="66"/>
    <x v="1"/>
    <x v="1"/>
  </r>
  <r>
    <n v="24466"/>
    <x v="0"/>
    <x v="0"/>
    <n v="60000"/>
    <n v="1"/>
    <x v="1"/>
    <s v="Skilled Manual"/>
    <s v="Yes"/>
    <x v="1"/>
    <x v="2"/>
    <s v="Pacific"/>
    <n v="46"/>
    <x v="0"/>
    <x v="1"/>
  </r>
  <r>
    <n v="29097"/>
    <x v="1"/>
    <x v="0"/>
    <n v="40000"/>
    <n v="2"/>
    <x v="1"/>
    <s v="Skilled Manual"/>
    <s v="Yes"/>
    <x v="2"/>
    <x v="2"/>
    <s v="Pacific"/>
    <n v="52"/>
    <x v="1"/>
    <x v="1"/>
  </r>
  <r>
    <n v="19487"/>
    <x v="0"/>
    <x v="1"/>
    <n v="30000"/>
    <n v="2"/>
    <x v="1"/>
    <s v="Clerical"/>
    <s v="No"/>
    <x v="2"/>
    <x v="0"/>
    <s v="Europe"/>
    <n v="42"/>
    <x v="0"/>
    <x v="0"/>
  </r>
  <r>
    <n v="14939"/>
    <x v="1"/>
    <x v="1"/>
    <n v="40000"/>
    <n v="0"/>
    <x v="0"/>
    <s v="Clerical"/>
    <s v="Yes"/>
    <x v="0"/>
    <x v="0"/>
    <s v="Europe"/>
    <n v="39"/>
    <x v="0"/>
    <x v="1"/>
  </r>
  <r>
    <n v="13826"/>
    <x v="1"/>
    <x v="0"/>
    <n v="30000"/>
    <n v="0"/>
    <x v="1"/>
    <s v="Clerical"/>
    <s v="No"/>
    <x v="1"/>
    <x v="0"/>
    <s v="Europe"/>
    <n v="28"/>
    <x v="2"/>
    <x v="0"/>
  </r>
  <r>
    <n v="20619"/>
    <x v="1"/>
    <x v="1"/>
    <n v="80000"/>
    <n v="0"/>
    <x v="0"/>
    <s v="Professional"/>
    <s v="No"/>
    <x v="3"/>
    <x v="4"/>
    <s v="Pacific"/>
    <n v="35"/>
    <x v="0"/>
    <x v="0"/>
  </r>
  <r>
    <n v="12558"/>
    <x v="0"/>
    <x v="0"/>
    <n v="20000"/>
    <n v="1"/>
    <x v="0"/>
    <s v="Clerical"/>
    <s v="Yes"/>
    <x v="0"/>
    <x v="0"/>
    <s v="Europe"/>
    <n v="65"/>
    <x v="1"/>
    <x v="0"/>
  </r>
  <r>
    <n v="24871"/>
    <x v="1"/>
    <x v="0"/>
    <n v="90000"/>
    <n v="4"/>
    <x v="2"/>
    <s v="Management"/>
    <s v="No"/>
    <x v="4"/>
    <x v="2"/>
    <s v="Europe"/>
    <n v="56"/>
    <x v="1"/>
    <x v="0"/>
  </r>
  <r>
    <n v="17319"/>
    <x v="1"/>
    <x v="0"/>
    <n v="70000"/>
    <n v="0"/>
    <x v="0"/>
    <s v="Professional"/>
    <s v="No"/>
    <x v="1"/>
    <x v="2"/>
    <s v="Pacific"/>
    <n v="42"/>
    <x v="0"/>
    <x v="0"/>
  </r>
  <r>
    <n v="28906"/>
    <x v="0"/>
    <x v="1"/>
    <n v="80000"/>
    <n v="4"/>
    <x v="2"/>
    <s v="Professional"/>
    <s v="Yes"/>
    <x v="2"/>
    <x v="4"/>
    <s v="Europe"/>
    <n v="54"/>
    <x v="1"/>
    <x v="0"/>
  </r>
  <r>
    <n v="12808"/>
    <x v="0"/>
    <x v="1"/>
    <n v="40000"/>
    <n v="0"/>
    <x v="0"/>
    <s v="Clerical"/>
    <s v="Yes"/>
    <x v="0"/>
    <x v="0"/>
    <s v="Europe"/>
    <n v="38"/>
    <x v="0"/>
    <x v="1"/>
  </r>
  <r>
    <n v="20567"/>
    <x v="0"/>
    <x v="1"/>
    <n v="130000"/>
    <n v="4"/>
    <x v="1"/>
    <s v="Professional"/>
    <s v="No"/>
    <x v="3"/>
    <x v="2"/>
    <s v="Europe"/>
    <n v="61"/>
    <x v="1"/>
    <x v="1"/>
  </r>
  <r>
    <n v="25502"/>
    <x v="0"/>
    <x v="0"/>
    <n v="40000"/>
    <n v="1"/>
    <x v="0"/>
    <s v="Skilled Manual"/>
    <s v="Yes"/>
    <x v="0"/>
    <x v="0"/>
    <s v="Europe"/>
    <n v="43"/>
    <x v="0"/>
    <x v="1"/>
  </r>
  <r>
    <n v="15580"/>
    <x v="0"/>
    <x v="1"/>
    <n v="60000"/>
    <n v="2"/>
    <x v="0"/>
    <s v="Professional"/>
    <s v="Yes"/>
    <x v="1"/>
    <x v="1"/>
    <s v="Pacific"/>
    <n v="38"/>
    <x v="0"/>
    <x v="1"/>
  </r>
  <r>
    <n v="24185"/>
    <x v="1"/>
    <x v="0"/>
    <n v="10000"/>
    <n v="1"/>
    <x v="2"/>
    <s v="Manual"/>
    <s v="No"/>
    <x v="1"/>
    <x v="3"/>
    <s v="Europe"/>
    <n v="45"/>
    <x v="0"/>
    <x v="0"/>
  </r>
  <r>
    <n v="19291"/>
    <x v="1"/>
    <x v="0"/>
    <n v="10000"/>
    <n v="2"/>
    <x v="2"/>
    <s v="Manual"/>
    <s v="Yes"/>
    <x v="0"/>
    <x v="0"/>
    <s v="Europe"/>
    <n v="35"/>
    <x v="0"/>
    <x v="0"/>
  </r>
  <r>
    <n v="16713"/>
    <x v="0"/>
    <x v="1"/>
    <n v="40000"/>
    <n v="2"/>
    <x v="0"/>
    <s v="Management"/>
    <s v="Yes"/>
    <x v="1"/>
    <x v="0"/>
    <s v="Pacific"/>
    <n v="52"/>
    <x v="1"/>
    <x v="1"/>
  </r>
  <r>
    <n v="16185"/>
    <x v="1"/>
    <x v="1"/>
    <n v="60000"/>
    <n v="4"/>
    <x v="0"/>
    <s v="Professional"/>
    <s v="Yes"/>
    <x v="4"/>
    <x v="4"/>
    <s v="Pacific"/>
    <n v="41"/>
    <x v="0"/>
    <x v="0"/>
  </r>
  <r>
    <n v="14927"/>
    <x v="0"/>
    <x v="0"/>
    <n v="30000"/>
    <n v="1"/>
    <x v="0"/>
    <s v="Clerical"/>
    <s v="Yes"/>
    <x v="0"/>
    <x v="0"/>
    <s v="Europe"/>
    <n v="37"/>
    <x v="0"/>
    <x v="1"/>
  </r>
  <r>
    <n v="29337"/>
    <x v="1"/>
    <x v="1"/>
    <n v="30000"/>
    <n v="2"/>
    <x v="1"/>
    <s v="Clerical"/>
    <s v="Yes"/>
    <x v="2"/>
    <x v="2"/>
    <s v="Pacific"/>
    <n v="68"/>
    <x v="1"/>
    <x v="0"/>
  </r>
  <r>
    <n v="29355"/>
    <x v="0"/>
    <x v="0"/>
    <n v="40000"/>
    <n v="0"/>
    <x v="4"/>
    <s v="Clerical"/>
    <s v="Yes"/>
    <x v="0"/>
    <x v="0"/>
    <s v="Europe"/>
    <n v="37"/>
    <x v="0"/>
    <x v="1"/>
  </r>
  <r>
    <n v="25303"/>
    <x v="1"/>
    <x v="1"/>
    <n v="30000"/>
    <n v="0"/>
    <x v="2"/>
    <s v="Manual"/>
    <s v="Yes"/>
    <x v="1"/>
    <x v="1"/>
    <s v="Europe"/>
    <n v="33"/>
    <x v="0"/>
    <x v="1"/>
  </r>
  <r>
    <n v="14813"/>
    <x v="1"/>
    <x v="0"/>
    <n v="20000"/>
    <n v="4"/>
    <x v="2"/>
    <s v="Manual"/>
    <s v="Yes"/>
    <x v="1"/>
    <x v="0"/>
    <s v="Europe"/>
    <n v="43"/>
    <x v="0"/>
    <x v="1"/>
  </r>
  <r>
    <n v="16438"/>
    <x v="0"/>
    <x v="0"/>
    <n v="10000"/>
    <n v="0"/>
    <x v="3"/>
    <s v="Manual"/>
    <s v="No"/>
    <x v="2"/>
    <x v="0"/>
    <s v="Europe"/>
    <n v="30"/>
    <x v="0"/>
    <x v="0"/>
  </r>
  <r>
    <n v="14238"/>
    <x v="0"/>
    <x v="1"/>
    <n v="120000"/>
    <n v="0"/>
    <x v="3"/>
    <s v="Professional"/>
    <s v="Yes"/>
    <x v="3"/>
    <x v="4"/>
    <s v="Pacific"/>
    <n v="36"/>
    <x v="0"/>
    <x v="1"/>
  </r>
  <r>
    <n v="16200"/>
    <x v="1"/>
    <x v="0"/>
    <n v="10000"/>
    <n v="0"/>
    <x v="3"/>
    <s v="Manual"/>
    <s v="No"/>
    <x v="2"/>
    <x v="0"/>
    <s v="Europe"/>
    <n v="35"/>
    <x v="0"/>
    <x v="0"/>
  </r>
  <r>
    <n v="24857"/>
    <x v="0"/>
    <x v="0"/>
    <n v="130000"/>
    <n v="3"/>
    <x v="2"/>
    <s v="Professional"/>
    <s v="Yes"/>
    <x v="3"/>
    <x v="0"/>
    <s v="Europe"/>
    <n v="52"/>
    <x v="1"/>
    <x v="0"/>
  </r>
  <r>
    <n v="26956"/>
    <x v="1"/>
    <x v="0"/>
    <n v="20000"/>
    <n v="0"/>
    <x v="1"/>
    <s v="Manual"/>
    <s v="No"/>
    <x v="1"/>
    <x v="1"/>
    <s v="Europe"/>
    <n v="36"/>
    <x v="0"/>
    <x v="1"/>
  </r>
  <r>
    <n v="14517"/>
    <x v="0"/>
    <x v="0"/>
    <n v="20000"/>
    <n v="3"/>
    <x v="2"/>
    <s v="Skilled Manual"/>
    <s v="No"/>
    <x v="2"/>
    <x v="3"/>
    <s v="Pacific"/>
    <n v="62"/>
    <x v="1"/>
    <x v="0"/>
  </r>
  <r>
    <n v="12678"/>
    <x v="1"/>
    <x v="0"/>
    <n v="130000"/>
    <n v="4"/>
    <x v="2"/>
    <s v="Management"/>
    <s v="Yes"/>
    <x v="3"/>
    <x v="0"/>
    <s v="Pacific"/>
    <n v="31"/>
    <x v="0"/>
    <x v="0"/>
  </r>
  <r>
    <n v="16188"/>
    <x v="1"/>
    <x v="0"/>
    <n v="20000"/>
    <n v="0"/>
    <x v="3"/>
    <s v="Manual"/>
    <s v="No"/>
    <x v="2"/>
    <x v="3"/>
    <s v="Europe"/>
    <n v="26"/>
    <x v="2"/>
    <x v="0"/>
  </r>
  <r>
    <n v="27969"/>
    <x v="0"/>
    <x v="1"/>
    <n v="80000"/>
    <n v="0"/>
    <x v="0"/>
    <s v="Professional"/>
    <s v="Yes"/>
    <x v="2"/>
    <x v="4"/>
    <s v="Pacific"/>
    <n v="29"/>
    <x v="2"/>
    <x v="1"/>
  </r>
  <r>
    <n v="15752"/>
    <x v="0"/>
    <x v="1"/>
    <n v="80000"/>
    <n v="2"/>
    <x v="2"/>
    <s v="Skilled Manual"/>
    <s v="No"/>
    <x v="2"/>
    <x v="3"/>
    <s v="Pacific"/>
    <n v="50"/>
    <x v="1"/>
    <x v="1"/>
  </r>
  <r>
    <n v="27745"/>
    <x v="1"/>
    <x v="1"/>
    <n v="40000"/>
    <n v="2"/>
    <x v="0"/>
    <s v="Management"/>
    <s v="Yes"/>
    <x v="2"/>
    <x v="2"/>
    <s v="Pacific"/>
    <n v="63"/>
    <x v="1"/>
    <x v="1"/>
  </r>
  <r>
    <n v="20828"/>
    <x v="0"/>
    <x v="0"/>
    <n v="30000"/>
    <n v="4"/>
    <x v="4"/>
    <s v="Clerical"/>
    <s v="Yes"/>
    <x v="0"/>
    <x v="0"/>
    <s v="Europe"/>
    <n v="45"/>
    <x v="0"/>
    <x v="1"/>
  </r>
  <r>
    <n v="19461"/>
    <x v="1"/>
    <x v="0"/>
    <n v="10000"/>
    <n v="4"/>
    <x v="3"/>
    <s v="Manual"/>
    <s v="Yes"/>
    <x v="2"/>
    <x v="0"/>
    <s v="Europe"/>
    <n v="40"/>
    <x v="0"/>
    <x v="0"/>
  </r>
  <r>
    <n v="26941"/>
    <x v="0"/>
    <x v="1"/>
    <n v="30000"/>
    <n v="0"/>
    <x v="0"/>
    <s v="Clerical"/>
    <s v="Yes"/>
    <x v="0"/>
    <x v="0"/>
    <s v="Europe"/>
    <n v="47"/>
    <x v="0"/>
    <x v="1"/>
  </r>
  <r>
    <n v="28412"/>
    <x v="1"/>
    <x v="1"/>
    <n v="20000"/>
    <n v="0"/>
    <x v="2"/>
    <s v="Manual"/>
    <s v="No"/>
    <x v="1"/>
    <x v="1"/>
    <s v="Europe"/>
    <n v="29"/>
    <x v="2"/>
    <x v="0"/>
  </r>
  <r>
    <n v="24485"/>
    <x v="1"/>
    <x v="1"/>
    <n v="40000"/>
    <n v="2"/>
    <x v="0"/>
    <s v="Management"/>
    <s v="No"/>
    <x v="1"/>
    <x v="2"/>
    <s v="Pacific"/>
    <n v="52"/>
    <x v="1"/>
    <x v="1"/>
  </r>
  <r>
    <n v="16514"/>
    <x v="1"/>
    <x v="1"/>
    <n v="10000"/>
    <n v="0"/>
    <x v="1"/>
    <s v="Manual"/>
    <s v="Yes"/>
    <x v="1"/>
    <x v="3"/>
    <s v="Pacific"/>
    <n v="26"/>
    <x v="2"/>
    <x v="1"/>
  </r>
  <r>
    <n v="17191"/>
    <x v="1"/>
    <x v="1"/>
    <n v="130000"/>
    <n v="3"/>
    <x v="1"/>
    <s v="Professional"/>
    <s v="No"/>
    <x v="4"/>
    <x v="0"/>
    <s v="Europe"/>
    <n v="51"/>
    <x v="1"/>
    <x v="1"/>
  </r>
  <r>
    <n v="19608"/>
    <x v="0"/>
    <x v="1"/>
    <n v="80000"/>
    <n v="5"/>
    <x v="0"/>
    <s v="Professional"/>
    <s v="Yes"/>
    <x v="3"/>
    <x v="3"/>
    <s v="Pacific"/>
    <n v="40"/>
    <x v="0"/>
    <x v="0"/>
  </r>
  <r>
    <n v="24119"/>
    <x v="1"/>
    <x v="1"/>
    <n v="30000"/>
    <n v="0"/>
    <x v="1"/>
    <s v="Clerical"/>
    <s v="No"/>
    <x v="1"/>
    <x v="1"/>
    <s v="Europe"/>
    <n v="29"/>
    <x v="2"/>
    <x v="0"/>
  </r>
  <r>
    <n v="25458"/>
    <x v="0"/>
    <x v="1"/>
    <n v="20000"/>
    <n v="1"/>
    <x v="2"/>
    <s v="Manual"/>
    <s v="No"/>
    <x v="1"/>
    <x v="3"/>
    <s v="Europe"/>
    <n v="40"/>
    <x v="0"/>
    <x v="1"/>
  </r>
  <r>
    <n v="26886"/>
    <x v="1"/>
    <x v="0"/>
    <n v="30000"/>
    <n v="0"/>
    <x v="1"/>
    <s v="Clerical"/>
    <s v="No"/>
    <x v="1"/>
    <x v="0"/>
    <s v="Europe"/>
    <n v="29"/>
    <x v="2"/>
    <x v="1"/>
  </r>
  <r>
    <n v="28436"/>
    <x v="1"/>
    <x v="1"/>
    <n v="30000"/>
    <n v="0"/>
    <x v="1"/>
    <s v="Clerical"/>
    <s v="No"/>
    <x v="1"/>
    <x v="0"/>
    <s v="Europe"/>
    <n v="30"/>
    <x v="0"/>
    <x v="1"/>
  </r>
  <r>
    <n v="19562"/>
    <x v="1"/>
    <x v="0"/>
    <n v="60000"/>
    <n v="2"/>
    <x v="0"/>
    <s v="Professional"/>
    <s v="Yes"/>
    <x v="1"/>
    <x v="1"/>
    <s v="Pacific"/>
    <n v="37"/>
    <x v="0"/>
    <x v="1"/>
  </r>
  <r>
    <n v="15608"/>
    <x v="1"/>
    <x v="0"/>
    <n v="30000"/>
    <n v="0"/>
    <x v="1"/>
    <s v="Clerical"/>
    <s v="No"/>
    <x v="1"/>
    <x v="1"/>
    <s v="Europe"/>
    <n v="33"/>
    <x v="0"/>
    <x v="0"/>
  </r>
  <r>
    <n v="16487"/>
    <x v="1"/>
    <x v="0"/>
    <n v="30000"/>
    <n v="3"/>
    <x v="2"/>
    <s v="Skilled Manual"/>
    <s v="Yes"/>
    <x v="2"/>
    <x v="2"/>
    <s v="Pacific"/>
    <n v="55"/>
    <x v="1"/>
    <x v="0"/>
  </r>
  <r>
    <n v="17197"/>
    <x v="1"/>
    <x v="0"/>
    <n v="90000"/>
    <n v="5"/>
    <x v="1"/>
    <s v="Professional"/>
    <s v="Yes"/>
    <x v="2"/>
    <x v="4"/>
    <s v="Europe"/>
    <n v="62"/>
    <x v="1"/>
    <x v="0"/>
  </r>
  <r>
    <n v="12507"/>
    <x v="0"/>
    <x v="1"/>
    <n v="30000"/>
    <n v="1"/>
    <x v="1"/>
    <s v="Clerical"/>
    <s v="Yes"/>
    <x v="1"/>
    <x v="0"/>
    <s v="Europe"/>
    <n v="43"/>
    <x v="0"/>
    <x v="0"/>
  </r>
  <r>
    <n v="23940"/>
    <x v="0"/>
    <x v="1"/>
    <n v="40000"/>
    <n v="1"/>
    <x v="0"/>
    <s v="Skilled Manual"/>
    <s v="Yes"/>
    <x v="1"/>
    <x v="0"/>
    <s v="Europe"/>
    <n v="44"/>
    <x v="0"/>
    <x v="1"/>
  </r>
  <r>
    <n v="19441"/>
    <x v="0"/>
    <x v="1"/>
    <n v="40000"/>
    <n v="0"/>
    <x v="4"/>
    <s v="Clerical"/>
    <s v="Yes"/>
    <x v="0"/>
    <x v="0"/>
    <s v="Europe"/>
    <n v="25"/>
    <x v="2"/>
    <x v="1"/>
  </r>
  <r>
    <n v="26852"/>
    <x v="0"/>
    <x v="0"/>
    <n v="20000"/>
    <n v="3"/>
    <x v="2"/>
    <s v="Manual"/>
    <s v="Yes"/>
    <x v="2"/>
    <x v="0"/>
    <s v="Europe"/>
    <n v="43"/>
    <x v="0"/>
    <x v="0"/>
  </r>
  <r>
    <n v="12274"/>
    <x v="1"/>
    <x v="1"/>
    <n v="10000"/>
    <n v="2"/>
    <x v="2"/>
    <s v="Manual"/>
    <s v="Yes"/>
    <x v="0"/>
    <x v="0"/>
    <s v="Europe"/>
    <n v="35"/>
    <x v="0"/>
    <x v="0"/>
  </r>
  <r>
    <n v="20236"/>
    <x v="1"/>
    <x v="1"/>
    <n v="60000"/>
    <n v="3"/>
    <x v="0"/>
    <s v="Professional"/>
    <s v="No"/>
    <x v="2"/>
    <x v="0"/>
    <s v="Pacific"/>
    <n v="43"/>
    <x v="0"/>
    <x v="1"/>
  </r>
  <r>
    <n v="24149"/>
    <x v="0"/>
    <x v="1"/>
    <n v="10000"/>
    <n v="2"/>
    <x v="1"/>
    <s v="Manual"/>
    <s v="Yes"/>
    <x v="0"/>
    <x v="3"/>
    <s v="Europe"/>
    <n v="49"/>
    <x v="0"/>
    <x v="0"/>
  </r>
  <r>
    <n v="26139"/>
    <x v="1"/>
    <x v="1"/>
    <n v="60000"/>
    <n v="1"/>
    <x v="1"/>
    <s v="Skilled Manual"/>
    <s v="Yes"/>
    <x v="1"/>
    <x v="2"/>
    <s v="Pacific"/>
    <n v="45"/>
    <x v="0"/>
    <x v="0"/>
  </r>
  <r>
    <n v="18491"/>
    <x v="1"/>
    <x v="0"/>
    <n v="70000"/>
    <n v="2"/>
    <x v="2"/>
    <s v="Professional"/>
    <s v="Yes"/>
    <x v="2"/>
    <x v="2"/>
    <s v="Pacific"/>
    <n v="49"/>
    <x v="0"/>
    <x v="1"/>
  </r>
  <r>
    <n v="22707"/>
    <x v="1"/>
    <x v="0"/>
    <n v="30000"/>
    <n v="0"/>
    <x v="1"/>
    <s v="Clerical"/>
    <s v="No"/>
    <x v="1"/>
    <x v="1"/>
    <s v="Europe"/>
    <n v="30"/>
    <x v="0"/>
    <x v="0"/>
  </r>
  <r>
    <n v="20430"/>
    <x v="0"/>
    <x v="1"/>
    <n v="70000"/>
    <n v="2"/>
    <x v="1"/>
    <s v="Skilled Manual"/>
    <s v="Yes"/>
    <x v="2"/>
    <x v="2"/>
    <s v="Pacific"/>
    <n v="52"/>
    <x v="1"/>
    <x v="1"/>
  </r>
  <r>
    <n v="27494"/>
    <x v="1"/>
    <x v="0"/>
    <n v="40000"/>
    <n v="2"/>
    <x v="1"/>
    <s v="Skilled Manual"/>
    <s v="No"/>
    <x v="2"/>
    <x v="3"/>
    <s v="Pacific"/>
    <n v="53"/>
    <x v="1"/>
    <x v="1"/>
  </r>
  <r>
    <n v="26829"/>
    <x v="0"/>
    <x v="0"/>
    <n v="40000"/>
    <n v="0"/>
    <x v="0"/>
    <s v="Clerical"/>
    <s v="Yes"/>
    <x v="0"/>
    <x v="0"/>
    <s v="Europe"/>
    <n v="38"/>
    <x v="0"/>
    <x v="1"/>
  </r>
  <r>
    <n v="28395"/>
    <x v="1"/>
    <x v="1"/>
    <n v="40000"/>
    <n v="0"/>
    <x v="0"/>
    <s v="Professional"/>
    <s v="No"/>
    <x v="0"/>
    <x v="0"/>
    <s v="Europe"/>
    <n v="39"/>
    <x v="0"/>
    <x v="1"/>
  </r>
  <r>
    <n v="21006"/>
    <x v="1"/>
    <x v="0"/>
    <n v="30000"/>
    <n v="1"/>
    <x v="1"/>
    <s v="Manual"/>
    <s v="No"/>
    <x v="0"/>
    <x v="0"/>
    <s v="Europe"/>
    <n v="46"/>
    <x v="0"/>
    <x v="1"/>
  </r>
  <r>
    <n v="14682"/>
    <x v="1"/>
    <x v="0"/>
    <n v="70000"/>
    <n v="0"/>
    <x v="0"/>
    <s v="Professional"/>
    <s v="No"/>
    <x v="1"/>
    <x v="2"/>
    <s v="Pacific"/>
    <n v="38"/>
    <x v="0"/>
    <x v="0"/>
  </r>
  <r>
    <n v="17650"/>
    <x v="1"/>
    <x v="0"/>
    <n v="40000"/>
    <n v="2"/>
    <x v="1"/>
    <s v="Clerical"/>
    <s v="Yes"/>
    <x v="2"/>
    <x v="3"/>
    <s v="Europe"/>
    <n v="35"/>
    <x v="0"/>
    <x v="0"/>
  </r>
  <r>
    <n v="29191"/>
    <x v="1"/>
    <x v="0"/>
    <n v="130000"/>
    <n v="1"/>
    <x v="4"/>
    <s v="Management"/>
    <s v="No"/>
    <x v="1"/>
    <x v="0"/>
    <s v="Pacific"/>
    <n v="36"/>
    <x v="0"/>
    <x v="1"/>
  </r>
  <r>
    <n v="15030"/>
    <x v="0"/>
    <x v="1"/>
    <n v="20000"/>
    <n v="0"/>
    <x v="0"/>
    <s v="Clerical"/>
    <s v="Yes"/>
    <x v="0"/>
    <x v="0"/>
    <s v="Pacific"/>
    <n v="26"/>
    <x v="2"/>
    <x v="1"/>
  </r>
  <r>
    <n v="24140"/>
    <x v="1"/>
    <x v="1"/>
    <n v="10000"/>
    <n v="0"/>
    <x v="4"/>
    <s v="Manual"/>
    <s v="No"/>
    <x v="0"/>
    <x v="0"/>
    <s v="Europe"/>
    <n v="30"/>
    <x v="0"/>
    <x v="1"/>
  </r>
  <r>
    <n v="22496"/>
    <x v="0"/>
    <x v="0"/>
    <n v="30000"/>
    <n v="1"/>
    <x v="0"/>
    <s v="Skilled Manual"/>
    <s v="Yes"/>
    <x v="2"/>
    <x v="0"/>
    <s v="Europe"/>
    <n v="42"/>
    <x v="0"/>
    <x v="0"/>
  </r>
  <r>
    <n v="24065"/>
    <x v="1"/>
    <x v="0"/>
    <n v="20000"/>
    <n v="0"/>
    <x v="2"/>
    <s v="Manual"/>
    <s v="Yes"/>
    <x v="0"/>
    <x v="0"/>
    <s v="Europe"/>
    <n v="40"/>
    <x v="0"/>
    <x v="1"/>
  </r>
  <r>
    <n v="19914"/>
    <x v="0"/>
    <x v="1"/>
    <n v="80000"/>
    <n v="5"/>
    <x v="0"/>
    <s v="Management"/>
    <s v="Yes"/>
    <x v="2"/>
    <x v="1"/>
    <s v="Europe"/>
    <n v="62"/>
    <x v="1"/>
    <x v="0"/>
  </r>
  <r>
    <n v="12871"/>
    <x v="1"/>
    <x v="0"/>
    <n v="30000"/>
    <n v="0"/>
    <x v="1"/>
    <s v="Clerical"/>
    <s v="No"/>
    <x v="1"/>
    <x v="1"/>
    <s v="Europe"/>
    <n v="29"/>
    <x v="2"/>
    <x v="0"/>
  </r>
  <r>
    <n v="22988"/>
    <x v="0"/>
    <x v="0"/>
    <n v="40000"/>
    <n v="2"/>
    <x v="0"/>
    <s v="Management"/>
    <s v="Yes"/>
    <x v="2"/>
    <x v="2"/>
    <s v="Pacific"/>
    <n v="66"/>
    <x v="1"/>
    <x v="1"/>
  </r>
  <r>
    <n v="15922"/>
    <x v="0"/>
    <x v="1"/>
    <n v="150000"/>
    <n v="2"/>
    <x v="2"/>
    <s v="Professional"/>
    <s v="Yes"/>
    <x v="3"/>
    <x v="0"/>
    <s v="Europe"/>
    <n v="48"/>
    <x v="0"/>
    <x v="0"/>
  </r>
  <r>
    <n v="12344"/>
    <x v="1"/>
    <x v="0"/>
    <n v="80000"/>
    <n v="0"/>
    <x v="0"/>
    <s v="Professional"/>
    <s v="No"/>
    <x v="4"/>
    <x v="4"/>
    <s v="Pacific"/>
    <n v="31"/>
    <x v="0"/>
    <x v="0"/>
  </r>
  <r>
    <n v="23627"/>
    <x v="1"/>
    <x v="0"/>
    <n v="100000"/>
    <n v="3"/>
    <x v="1"/>
    <s v="Management"/>
    <s v="No"/>
    <x v="3"/>
    <x v="2"/>
    <s v="Europe"/>
    <n v="56"/>
    <x v="1"/>
    <x v="0"/>
  </r>
  <r>
    <n v="27775"/>
    <x v="1"/>
    <x v="0"/>
    <n v="40000"/>
    <n v="0"/>
    <x v="0"/>
    <s v="Clerical"/>
    <s v="No"/>
    <x v="0"/>
    <x v="0"/>
    <s v="Europe"/>
    <n v="38"/>
    <x v="0"/>
    <x v="1"/>
  </r>
  <r>
    <n v="29301"/>
    <x v="0"/>
    <x v="1"/>
    <n v="80000"/>
    <n v="5"/>
    <x v="0"/>
    <s v="Professional"/>
    <s v="Yes"/>
    <x v="3"/>
    <x v="3"/>
    <s v="Pacific"/>
    <n v="40"/>
    <x v="0"/>
    <x v="0"/>
  </r>
  <r>
    <n v="12716"/>
    <x v="1"/>
    <x v="1"/>
    <n v="30000"/>
    <n v="0"/>
    <x v="1"/>
    <s v="Clerical"/>
    <s v="Yes"/>
    <x v="1"/>
    <x v="1"/>
    <s v="Europe"/>
    <n v="32"/>
    <x v="0"/>
    <x v="0"/>
  </r>
  <r>
    <n v="12472"/>
    <x v="0"/>
    <x v="1"/>
    <n v="30000"/>
    <n v="1"/>
    <x v="0"/>
    <s v="Clerical"/>
    <s v="Yes"/>
    <x v="1"/>
    <x v="1"/>
    <s v="Europe"/>
    <n v="39"/>
    <x v="0"/>
    <x v="0"/>
  </r>
  <r>
    <n v="20970"/>
    <x v="1"/>
    <x v="1"/>
    <n v="10000"/>
    <n v="2"/>
    <x v="1"/>
    <s v="Manual"/>
    <s v="Yes"/>
    <x v="1"/>
    <x v="0"/>
    <s v="Europe"/>
    <n v="52"/>
    <x v="1"/>
    <x v="1"/>
  </r>
  <r>
    <n v="26818"/>
    <x v="1"/>
    <x v="1"/>
    <n v="10000"/>
    <n v="3"/>
    <x v="2"/>
    <s v="Manual"/>
    <s v="Yes"/>
    <x v="1"/>
    <x v="0"/>
    <s v="Europe"/>
    <n v="39"/>
    <x v="0"/>
    <x v="1"/>
  </r>
  <r>
    <n v="12993"/>
    <x v="0"/>
    <x v="1"/>
    <n v="60000"/>
    <n v="2"/>
    <x v="0"/>
    <s v="Professional"/>
    <s v="Yes"/>
    <x v="1"/>
    <x v="1"/>
    <s v="Pacific"/>
    <n v="37"/>
    <x v="0"/>
    <x v="0"/>
  </r>
  <r>
    <n v="14192"/>
    <x v="0"/>
    <x v="1"/>
    <n v="90000"/>
    <n v="4"/>
    <x v="2"/>
    <s v="Management"/>
    <s v="Yes"/>
    <x v="4"/>
    <x v="2"/>
    <s v="Europe"/>
    <n v="56"/>
    <x v="1"/>
    <x v="1"/>
  </r>
  <r>
    <n v="19477"/>
    <x v="0"/>
    <x v="1"/>
    <n v="40000"/>
    <n v="0"/>
    <x v="0"/>
    <s v="Professional"/>
    <s v="Yes"/>
    <x v="0"/>
    <x v="0"/>
    <s v="Europe"/>
    <n v="40"/>
    <x v="0"/>
    <x v="1"/>
  </r>
  <r>
    <n v="26796"/>
    <x v="1"/>
    <x v="1"/>
    <n v="40000"/>
    <n v="2"/>
    <x v="0"/>
    <s v="Management"/>
    <s v="Yes"/>
    <x v="2"/>
    <x v="2"/>
    <s v="Pacific"/>
    <n v="65"/>
    <x v="1"/>
    <x v="1"/>
  </r>
  <r>
    <n v="21094"/>
    <x v="1"/>
    <x v="0"/>
    <n v="30000"/>
    <n v="2"/>
    <x v="1"/>
    <s v="Clerical"/>
    <s v="Yes"/>
    <x v="2"/>
    <x v="0"/>
    <s v="Europe"/>
    <n v="42"/>
    <x v="0"/>
    <x v="0"/>
  </r>
  <r>
    <n v="12234"/>
    <x v="0"/>
    <x v="1"/>
    <n v="10000"/>
    <n v="2"/>
    <x v="1"/>
    <s v="Manual"/>
    <s v="Yes"/>
    <x v="1"/>
    <x v="1"/>
    <s v="Europe"/>
    <n v="52"/>
    <x v="1"/>
    <x v="0"/>
  </r>
  <r>
    <n v="28683"/>
    <x v="1"/>
    <x v="0"/>
    <n v="10000"/>
    <n v="1"/>
    <x v="2"/>
    <s v="Manual"/>
    <s v="No"/>
    <x v="1"/>
    <x v="2"/>
    <s v="Europe"/>
    <n v="35"/>
    <x v="0"/>
    <x v="1"/>
  </r>
  <r>
    <n v="17994"/>
    <x v="1"/>
    <x v="1"/>
    <n v="20000"/>
    <n v="2"/>
    <x v="2"/>
    <s v="Manual"/>
    <s v="Yes"/>
    <x v="2"/>
    <x v="0"/>
    <s v="Europe"/>
    <n v="42"/>
    <x v="0"/>
    <x v="0"/>
  </r>
  <r>
    <n v="24273"/>
    <x v="0"/>
    <x v="0"/>
    <n v="20000"/>
    <n v="2"/>
    <x v="3"/>
    <s v="Clerical"/>
    <s v="Yes"/>
    <x v="2"/>
    <x v="2"/>
    <s v="Pacific"/>
    <n v="55"/>
    <x v="1"/>
    <x v="1"/>
  </r>
  <r>
    <n v="26547"/>
    <x v="1"/>
    <x v="0"/>
    <n v="30000"/>
    <n v="2"/>
    <x v="1"/>
    <s v="Clerical"/>
    <s v="No"/>
    <x v="2"/>
    <x v="2"/>
    <s v="Pacific"/>
    <n v="60"/>
    <x v="1"/>
    <x v="1"/>
  </r>
  <r>
    <n v="22500"/>
    <x v="1"/>
    <x v="1"/>
    <n v="40000"/>
    <n v="0"/>
    <x v="0"/>
    <s v="Professional"/>
    <s v="No"/>
    <x v="0"/>
    <x v="0"/>
    <s v="Europe"/>
    <n v="40"/>
    <x v="0"/>
    <x v="1"/>
  </r>
  <r>
    <n v="23993"/>
    <x v="1"/>
    <x v="0"/>
    <n v="10000"/>
    <n v="0"/>
    <x v="1"/>
    <s v="Manual"/>
    <s v="No"/>
    <x v="1"/>
    <x v="0"/>
    <s v="Pacific"/>
    <n v="26"/>
    <x v="2"/>
    <x v="1"/>
  </r>
  <r>
    <n v="14832"/>
    <x v="0"/>
    <x v="1"/>
    <n v="40000"/>
    <n v="1"/>
    <x v="0"/>
    <s v="Skilled Manual"/>
    <s v="Yes"/>
    <x v="0"/>
    <x v="0"/>
    <s v="Europe"/>
    <n v="42"/>
    <x v="0"/>
    <x v="1"/>
  </r>
  <r>
    <n v="16614"/>
    <x v="0"/>
    <x v="0"/>
    <n v="80000"/>
    <n v="0"/>
    <x v="0"/>
    <s v="Professional"/>
    <s v="Yes"/>
    <x v="4"/>
    <x v="4"/>
    <s v="Pacific"/>
    <n v="32"/>
    <x v="0"/>
    <x v="0"/>
  </r>
  <r>
    <n v="20877"/>
    <x v="1"/>
    <x v="1"/>
    <n v="30000"/>
    <n v="1"/>
    <x v="0"/>
    <s v="Clerical"/>
    <s v="Yes"/>
    <x v="0"/>
    <x v="3"/>
    <s v="Europe"/>
    <n v="37"/>
    <x v="0"/>
    <x v="1"/>
  </r>
  <r>
    <n v="20729"/>
    <x v="0"/>
    <x v="0"/>
    <n v="40000"/>
    <n v="2"/>
    <x v="1"/>
    <s v="Clerical"/>
    <s v="No"/>
    <x v="1"/>
    <x v="0"/>
    <s v="Europe"/>
    <n v="34"/>
    <x v="0"/>
    <x v="0"/>
  </r>
  <r>
    <n v="22464"/>
    <x v="0"/>
    <x v="1"/>
    <n v="40000"/>
    <n v="0"/>
    <x v="4"/>
    <s v="Clerical"/>
    <s v="Yes"/>
    <x v="0"/>
    <x v="0"/>
    <s v="Europe"/>
    <n v="37"/>
    <x v="0"/>
    <x v="1"/>
  </r>
  <r>
    <n v="19475"/>
    <x v="0"/>
    <x v="0"/>
    <n v="40000"/>
    <n v="0"/>
    <x v="0"/>
    <s v="Professional"/>
    <s v="No"/>
    <x v="0"/>
    <x v="0"/>
    <s v="Europe"/>
    <n v="40"/>
    <x v="0"/>
    <x v="1"/>
  </r>
  <r>
    <n v="19675"/>
    <x v="0"/>
    <x v="1"/>
    <n v="20000"/>
    <n v="4"/>
    <x v="2"/>
    <s v="Skilled Manual"/>
    <s v="Yes"/>
    <x v="2"/>
    <x v="2"/>
    <s v="Pacific"/>
    <n v="60"/>
    <x v="1"/>
    <x v="0"/>
  </r>
  <r>
    <n v="12728"/>
    <x v="1"/>
    <x v="1"/>
    <n v="30000"/>
    <n v="0"/>
    <x v="1"/>
    <s v="Clerical"/>
    <s v="No"/>
    <x v="1"/>
    <x v="3"/>
    <s v="Europe"/>
    <n v="27"/>
    <x v="2"/>
    <x v="0"/>
  </r>
  <r>
    <n v="26154"/>
    <x v="0"/>
    <x v="1"/>
    <n v="60000"/>
    <n v="1"/>
    <x v="1"/>
    <s v="Skilled Manual"/>
    <s v="Yes"/>
    <x v="1"/>
    <x v="2"/>
    <s v="Pacific"/>
    <n v="43"/>
    <x v="0"/>
    <x v="1"/>
  </r>
  <r>
    <n v="29117"/>
    <x v="1"/>
    <x v="1"/>
    <n v="100000"/>
    <n v="1"/>
    <x v="0"/>
    <s v="Management"/>
    <s v="No"/>
    <x v="4"/>
    <x v="0"/>
    <s v="Pacific"/>
    <n v="48"/>
    <x v="0"/>
    <x v="0"/>
  </r>
  <r>
    <n v="17845"/>
    <x v="1"/>
    <x v="0"/>
    <n v="20000"/>
    <n v="0"/>
    <x v="3"/>
    <s v="Manual"/>
    <s v="No"/>
    <x v="2"/>
    <x v="3"/>
    <s v="Europe"/>
    <n v="32"/>
    <x v="0"/>
    <x v="0"/>
  </r>
  <r>
    <n v="25058"/>
    <x v="0"/>
    <x v="1"/>
    <n v="100000"/>
    <n v="1"/>
    <x v="0"/>
    <s v="Management"/>
    <s v="Yes"/>
    <x v="4"/>
    <x v="1"/>
    <s v="Pacific"/>
    <n v="47"/>
    <x v="0"/>
    <x v="0"/>
  </r>
  <r>
    <n v="23426"/>
    <x v="1"/>
    <x v="1"/>
    <n v="80000"/>
    <n v="5"/>
    <x v="4"/>
    <s v="Management"/>
    <s v="Yes"/>
    <x v="4"/>
    <x v="0"/>
    <s v="Pacific"/>
    <n v="40"/>
    <x v="0"/>
    <x v="0"/>
  </r>
  <r>
    <n v="14798"/>
    <x v="1"/>
    <x v="0"/>
    <n v="10000"/>
    <n v="4"/>
    <x v="3"/>
    <s v="Manual"/>
    <s v="Yes"/>
    <x v="2"/>
    <x v="0"/>
    <s v="Europe"/>
    <n v="41"/>
    <x v="0"/>
    <x v="1"/>
  </r>
  <r>
    <n v="12664"/>
    <x v="0"/>
    <x v="0"/>
    <n v="130000"/>
    <n v="5"/>
    <x v="1"/>
    <s v="Professional"/>
    <s v="Yes"/>
    <x v="3"/>
    <x v="0"/>
    <s v="Europe"/>
    <n v="59"/>
    <x v="1"/>
    <x v="0"/>
  </r>
  <r>
    <n v="23979"/>
    <x v="1"/>
    <x v="1"/>
    <n v="10000"/>
    <n v="2"/>
    <x v="1"/>
    <s v="Manual"/>
    <s v="No"/>
    <x v="0"/>
    <x v="0"/>
    <s v="Europe"/>
    <n v="50"/>
    <x v="1"/>
    <x v="0"/>
  </r>
  <r>
    <n v="25605"/>
    <x v="1"/>
    <x v="0"/>
    <n v="20000"/>
    <n v="2"/>
    <x v="1"/>
    <s v="Manual"/>
    <s v="No"/>
    <x v="1"/>
    <x v="0"/>
    <s v="Europe"/>
    <n v="54"/>
    <x v="1"/>
    <x v="1"/>
  </r>
  <r>
    <n v="20797"/>
    <x v="0"/>
    <x v="0"/>
    <n v="10000"/>
    <n v="1"/>
    <x v="0"/>
    <s v="Manual"/>
    <s v="Yes"/>
    <x v="0"/>
    <x v="0"/>
    <s v="Europe"/>
    <n v="48"/>
    <x v="0"/>
    <x v="0"/>
  </r>
  <r>
    <n v="21980"/>
    <x v="1"/>
    <x v="0"/>
    <n v="60000"/>
    <n v="1"/>
    <x v="0"/>
    <s v="Professional"/>
    <s v="Yes"/>
    <x v="1"/>
    <x v="2"/>
    <s v="Pacific"/>
    <n v="44"/>
    <x v="0"/>
    <x v="1"/>
  </r>
  <r>
    <n v="25460"/>
    <x v="0"/>
    <x v="0"/>
    <n v="20000"/>
    <n v="2"/>
    <x v="2"/>
    <s v="Manual"/>
    <s v="Yes"/>
    <x v="0"/>
    <x v="0"/>
    <s v="Europe"/>
    <n v="40"/>
    <x v="0"/>
    <x v="1"/>
  </r>
  <r>
    <n v="29181"/>
    <x v="1"/>
    <x v="0"/>
    <n v="60000"/>
    <n v="2"/>
    <x v="0"/>
    <s v="Professional"/>
    <s v="No"/>
    <x v="1"/>
    <x v="0"/>
    <s v="Pacific"/>
    <n v="38"/>
    <x v="0"/>
    <x v="1"/>
  </r>
  <r>
    <n v="24279"/>
    <x v="1"/>
    <x v="1"/>
    <n v="40000"/>
    <n v="2"/>
    <x v="1"/>
    <s v="Skilled Manual"/>
    <s v="No"/>
    <x v="2"/>
    <x v="3"/>
    <s v="Pacific"/>
    <n v="52"/>
    <x v="1"/>
    <x v="0"/>
  </r>
  <r>
    <n v="22402"/>
    <x v="0"/>
    <x v="1"/>
    <n v="10000"/>
    <n v="0"/>
    <x v="1"/>
    <s v="Manual"/>
    <s v="Yes"/>
    <x v="1"/>
    <x v="1"/>
    <s v="Pacific"/>
    <n v="25"/>
    <x v="2"/>
    <x v="1"/>
  </r>
  <r>
    <n v="15465"/>
    <x v="0"/>
    <x v="0"/>
    <n v="10000"/>
    <n v="0"/>
    <x v="1"/>
    <s v="Manual"/>
    <s v="No"/>
    <x v="1"/>
    <x v="0"/>
    <s v="Pacific"/>
    <n v="25"/>
    <x v="2"/>
    <x v="0"/>
  </r>
  <r>
    <n v="26757"/>
    <x v="1"/>
    <x v="1"/>
    <n v="90000"/>
    <n v="1"/>
    <x v="0"/>
    <s v="Professional"/>
    <s v="Yes"/>
    <x v="1"/>
    <x v="1"/>
    <s v="Pacific"/>
    <n v="47"/>
    <x v="0"/>
    <x v="1"/>
  </r>
  <r>
    <n v="14233"/>
    <x v="1"/>
    <x v="1"/>
    <n v="100000"/>
    <n v="0"/>
    <x v="2"/>
    <s v="Management"/>
    <s v="Yes"/>
    <x v="4"/>
    <x v="4"/>
    <s v="Pacific"/>
    <n v="35"/>
    <x v="0"/>
    <x v="0"/>
  </r>
  <r>
    <n v="14058"/>
    <x v="1"/>
    <x v="1"/>
    <n v="70000"/>
    <n v="0"/>
    <x v="0"/>
    <s v="Professional"/>
    <s v="No"/>
    <x v="1"/>
    <x v="2"/>
    <s v="Pacific"/>
    <n v="41"/>
    <x v="0"/>
    <x v="1"/>
  </r>
  <r>
    <n v="12273"/>
    <x v="0"/>
    <x v="1"/>
    <n v="30000"/>
    <n v="1"/>
    <x v="0"/>
    <s v="Clerical"/>
    <s v="Yes"/>
    <x v="0"/>
    <x v="0"/>
    <s v="Europe"/>
    <n v="47"/>
    <x v="0"/>
    <x v="0"/>
  </r>
  <r>
    <n v="17203"/>
    <x v="0"/>
    <x v="0"/>
    <n v="130000"/>
    <n v="4"/>
    <x v="1"/>
    <s v="Professional"/>
    <s v="Yes"/>
    <x v="3"/>
    <x v="2"/>
    <s v="Europe"/>
    <n v="61"/>
    <x v="1"/>
    <x v="1"/>
  </r>
  <r>
    <n v="18144"/>
    <x v="0"/>
    <x v="0"/>
    <n v="80000"/>
    <n v="5"/>
    <x v="0"/>
    <s v="Management"/>
    <s v="Yes"/>
    <x v="2"/>
    <x v="1"/>
    <s v="Europe"/>
    <n v="61"/>
    <x v="1"/>
    <x v="0"/>
  </r>
  <r>
    <n v="23963"/>
    <x v="0"/>
    <x v="1"/>
    <n v="10000"/>
    <n v="0"/>
    <x v="3"/>
    <s v="Manual"/>
    <s v="No"/>
    <x v="2"/>
    <x v="0"/>
    <s v="Europe"/>
    <n v="33"/>
    <x v="0"/>
    <x v="0"/>
  </r>
  <r>
    <n v="17907"/>
    <x v="0"/>
    <x v="0"/>
    <n v="10000"/>
    <n v="0"/>
    <x v="1"/>
    <s v="Manual"/>
    <s v="Yes"/>
    <x v="1"/>
    <x v="1"/>
    <s v="Pacific"/>
    <n v="27"/>
    <x v="2"/>
    <x v="0"/>
  </r>
  <r>
    <n v="19442"/>
    <x v="1"/>
    <x v="1"/>
    <n v="50000"/>
    <n v="0"/>
    <x v="4"/>
    <s v="Skilled Manual"/>
    <s v="Yes"/>
    <x v="0"/>
    <x v="0"/>
    <s v="Europe"/>
    <n v="37"/>
    <x v="0"/>
    <x v="1"/>
  </r>
  <r>
    <n v="17504"/>
    <x v="1"/>
    <x v="0"/>
    <n v="80000"/>
    <n v="2"/>
    <x v="1"/>
    <s v="Skilled Manual"/>
    <s v="Yes"/>
    <x v="2"/>
    <x v="2"/>
    <s v="Pacific"/>
    <n v="52"/>
    <x v="1"/>
    <x v="1"/>
  </r>
  <r>
    <n v="12253"/>
    <x v="1"/>
    <x v="0"/>
    <n v="20000"/>
    <n v="0"/>
    <x v="1"/>
    <s v="Manual"/>
    <s v="Yes"/>
    <x v="0"/>
    <x v="0"/>
    <s v="Pacific"/>
    <n v="29"/>
    <x v="2"/>
    <x v="1"/>
  </r>
  <r>
    <n v="27304"/>
    <x v="1"/>
    <x v="0"/>
    <n v="110000"/>
    <n v="2"/>
    <x v="1"/>
    <s v="Professional"/>
    <s v="No"/>
    <x v="4"/>
    <x v="2"/>
    <s v="Europe"/>
    <n v="48"/>
    <x v="0"/>
    <x v="0"/>
  </r>
  <r>
    <n v="14191"/>
    <x v="0"/>
    <x v="1"/>
    <n v="160000"/>
    <n v="4"/>
    <x v="1"/>
    <s v="Professional"/>
    <s v="No"/>
    <x v="2"/>
    <x v="4"/>
    <s v="Europe"/>
    <n v="55"/>
    <x v="1"/>
    <x v="1"/>
  </r>
  <r>
    <n v="12212"/>
    <x v="0"/>
    <x v="0"/>
    <n v="10000"/>
    <n v="0"/>
    <x v="4"/>
    <s v="Manual"/>
    <s v="Yes"/>
    <x v="0"/>
    <x v="0"/>
    <s v="Europe"/>
    <n v="37"/>
    <x v="0"/>
    <x v="1"/>
  </r>
  <r>
    <n v="25529"/>
    <x v="1"/>
    <x v="1"/>
    <n v="10000"/>
    <n v="1"/>
    <x v="4"/>
    <s v="Manual"/>
    <s v="Yes"/>
    <x v="0"/>
    <x v="0"/>
    <s v="Europe"/>
    <n v="44"/>
    <x v="0"/>
    <x v="0"/>
  </r>
  <r>
    <n v="22170"/>
    <x v="0"/>
    <x v="0"/>
    <n v="30000"/>
    <n v="3"/>
    <x v="1"/>
    <s v="Clerical"/>
    <s v="No"/>
    <x v="2"/>
    <x v="3"/>
    <s v="Pacific"/>
    <n v="55"/>
    <x v="1"/>
    <x v="1"/>
  </r>
  <r>
    <n v="19445"/>
    <x v="0"/>
    <x v="0"/>
    <n v="10000"/>
    <n v="2"/>
    <x v="2"/>
    <s v="Manual"/>
    <s v="No"/>
    <x v="1"/>
    <x v="0"/>
    <s v="Europe"/>
    <n v="38"/>
    <x v="0"/>
    <x v="0"/>
  </r>
  <r>
    <n v="15265"/>
    <x v="1"/>
    <x v="1"/>
    <n v="40000"/>
    <n v="2"/>
    <x v="0"/>
    <s v="Management"/>
    <s v="Yes"/>
    <x v="2"/>
    <x v="2"/>
    <s v="Pacific"/>
    <n v="66"/>
    <x v="1"/>
    <x v="1"/>
  </r>
  <r>
    <n v="28918"/>
    <x v="0"/>
    <x v="0"/>
    <n v="130000"/>
    <n v="4"/>
    <x v="2"/>
    <s v="Management"/>
    <s v="No"/>
    <x v="3"/>
    <x v="4"/>
    <s v="Europe"/>
    <n v="58"/>
    <x v="1"/>
    <x v="0"/>
  </r>
  <r>
    <n v="15799"/>
    <x v="0"/>
    <x v="0"/>
    <n v="90000"/>
    <n v="1"/>
    <x v="0"/>
    <s v="Professional"/>
    <s v="Yes"/>
    <x v="1"/>
    <x v="1"/>
    <s v="Pacific"/>
    <n v="47"/>
    <x v="0"/>
    <x v="1"/>
  </r>
  <r>
    <n v="11047"/>
    <x v="0"/>
    <x v="0"/>
    <n v="30000"/>
    <n v="3"/>
    <x v="2"/>
    <s v="Skilled Manual"/>
    <s v="No"/>
    <x v="2"/>
    <x v="3"/>
    <s v="Pacific"/>
    <n v="56"/>
    <x v="1"/>
    <x v="1"/>
  </r>
  <r>
    <n v="18151"/>
    <x v="1"/>
    <x v="1"/>
    <n v="80000"/>
    <n v="5"/>
    <x v="1"/>
    <s v="Professional"/>
    <s v="No"/>
    <x v="2"/>
    <x v="4"/>
    <s v="Europe"/>
    <n v="59"/>
    <x v="1"/>
    <x v="0"/>
  </r>
  <r>
    <n v="20606"/>
    <x v="0"/>
    <x v="0"/>
    <n v="70000"/>
    <n v="0"/>
    <x v="0"/>
    <s v="Professional"/>
    <s v="Yes"/>
    <x v="3"/>
    <x v="4"/>
    <s v="Pacific"/>
    <n v="32"/>
    <x v="0"/>
    <x v="1"/>
  </r>
  <r>
    <n v="19482"/>
    <x v="0"/>
    <x v="1"/>
    <n v="30000"/>
    <n v="1"/>
    <x v="1"/>
    <s v="Clerical"/>
    <s v="Yes"/>
    <x v="1"/>
    <x v="0"/>
    <s v="Europe"/>
    <n v="44"/>
    <x v="0"/>
    <x v="1"/>
  </r>
  <r>
    <n v="16489"/>
    <x v="0"/>
    <x v="1"/>
    <n v="30000"/>
    <n v="3"/>
    <x v="2"/>
    <s v="Skilled Manual"/>
    <s v="Yes"/>
    <x v="2"/>
    <x v="2"/>
    <s v="Pacific"/>
    <n v="55"/>
    <x v="1"/>
    <x v="0"/>
  </r>
  <r>
    <n v="26944"/>
    <x v="1"/>
    <x v="1"/>
    <n v="90000"/>
    <n v="2"/>
    <x v="2"/>
    <s v="Manual"/>
    <s v="Yes"/>
    <x v="0"/>
    <x v="0"/>
    <s v="Europe"/>
    <n v="36"/>
    <x v="0"/>
    <x v="1"/>
  </r>
  <r>
    <n v="15682"/>
    <x v="1"/>
    <x v="0"/>
    <n v="80000"/>
    <n v="5"/>
    <x v="0"/>
    <s v="Management"/>
    <s v="Yes"/>
    <x v="2"/>
    <x v="4"/>
    <s v="Europe"/>
    <n v="62"/>
    <x v="1"/>
    <x v="0"/>
  </r>
  <r>
    <n v="26032"/>
    <x v="0"/>
    <x v="0"/>
    <n v="70000"/>
    <n v="5"/>
    <x v="0"/>
    <s v="Professional"/>
    <s v="Yes"/>
    <x v="3"/>
    <x v="4"/>
    <s v="Pacific"/>
    <n v="41"/>
    <x v="0"/>
    <x v="0"/>
  </r>
  <r>
    <n v="17843"/>
    <x v="1"/>
    <x v="0"/>
    <n v="10000"/>
    <n v="0"/>
    <x v="3"/>
    <s v="Manual"/>
    <s v="No"/>
    <x v="2"/>
    <x v="0"/>
    <s v="Europe"/>
    <n v="32"/>
    <x v="0"/>
    <x v="0"/>
  </r>
  <r>
    <n v="25559"/>
    <x v="1"/>
    <x v="1"/>
    <n v="20000"/>
    <n v="0"/>
    <x v="0"/>
    <s v="Clerical"/>
    <s v="Yes"/>
    <x v="0"/>
    <x v="0"/>
    <s v="Pacific"/>
    <n v="25"/>
    <x v="2"/>
    <x v="1"/>
  </r>
  <r>
    <n v="16209"/>
    <x v="1"/>
    <x v="0"/>
    <n v="50000"/>
    <n v="0"/>
    <x v="4"/>
    <s v="Skilled Manual"/>
    <s v="Yes"/>
    <x v="0"/>
    <x v="3"/>
    <s v="Europe"/>
    <n v="36"/>
    <x v="0"/>
    <x v="0"/>
  </r>
  <r>
    <n v="11147"/>
    <x v="0"/>
    <x v="1"/>
    <n v="60000"/>
    <n v="2"/>
    <x v="4"/>
    <s v="Management"/>
    <s v="Yes"/>
    <x v="1"/>
    <x v="0"/>
    <s v="Pacific"/>
    <n v="67"/>
    <x v="1"/>
    <x v="1"/>
  </r>
  <r>
    <n v="15214"/>
    <x v="1"/>
    <x v="0"/>
    <n v="100000"/>
    <n v="0"/>
    <x v="4"/>
    <s v="Management"/>
    <s v="No"/>
    <x v="1"/>
    <x v="3"/>
    <s v="Pacific"/>
    <n v="39"/>
    <x v="0"/>
    <x v="1"/>
  </r>
  <r>
    <n v="11453"/>
    <x v="1"/>
    <x v="1"/>
    <n v="80000"/>
    <n v="0"/>
    <x v="0"/>
    <s v="Professional"/>
    <s v="No"/>
    <x v="4"/>
    <x v="4"/>
    <s v="Pacific"/>
    <n v="33"/>
    <x v="0"/>
    <x v="1"/>
  </r>
  <r>
    <n v="24584"/>
    <x v="1"/>
    <x v="1"/>
    <n v="60000"/>
    <n v="0"/>
    <x v="0"/>
    <s v="Professional"/>
    <s v="No"/>
    <x v="4"/>
    <x v="1"/>
    <s v="Pacific"/>
    <n v="31"/>
    <x v="0"/>
    <x v="0"/>
  </r>
  <r>
    <n v="12585"/>
    <x v="0"/>
    <x v="1"/>
    <n v="10000"/>
    <n v="1"/>
    <x v="2"/>
    <s v="Manual"/>
    <s v="Yes"/>
    <x v="0"/>
    <x v="1"/>
    <s v="Pacific"/>
    <n v="27"/>
    <x v="2"/>
    <x v="1"/>
  </r>
  <r>
    <n v="18626"/>
    <x v="1"/>
    <x v="1"/>
    <n v="40000"/>
    <n v="2"/>
    <x v="1"/>
    <s v="Clerical"/>
    <s v="Yes"/>
    <x v="0"/>
    <x v="3"/>
    <s v="Europe"/>
    <n v="33"/>
    <x v="0"/>
    <x v="1"/>
  </r>
  <r>
    <n v="29298"/>
    <x v="1"/>
    <x v="0"/>
    <n v="60000"/>
    <n v="1"/>
    <x v="1"/>
    <s v="Skilled Manual"/>
    <s v="Yes"/>
    <x v="1"/>
    <x v="2"/>
    <s v="Pacific"/>
    <n v="46"/>
    <x v="0"/>
    <x v="1"/>
  </r>
  <r>
    <n v="24842"/>
    <x v="1"/>
    <x v="0"/>
    <n v="90000"/>
    <n v="3"/>
    <x v="2"/>
    <s v="Professional"/>
    <s v="No"/>
    <x v="1"/>
    <x v="1"/>
    <s v="Europe"/>
    <n v="51"/>
    <x v="1"/>
    <x v="0"/>
  </r>
  <r>
    <n v="15657"/>
    <x v="0"/>
    <x v="1"/>
    <n v="30000"/>
    <n v="3"/>
    <x v="4"/>
    <s v="Clerical"/>
    <s v="Yes"/>
    <x v="0"/>
    <x v="0"/>
    <s v="Europe"/>
    <n v="46"/>
    <x v="0"/>
    <x v="1"/>
  </r>
  <r>
    <n v="11415"/>
    <x v="1"/>
    <x v="1"/>
    <n v="90000"/>
    <n v="5"/>
    <x v="1"/>
    <s v="Professional"/>
    <s v="No"/>
    <x v="2"/>
    <x v="4"/>
    <s v="Europe"/>
    <n v="62"/>
    <x v="1"/>
    <x v="0"/>
  </r>
  <r>
    <n v="28729"/>
    <x v="1"/>
    <x v="0"/>
    <n v="20000"/>
    <n v="0"/>
    <x v="3"/>
    <s v="Manual"/>
    <s v="Yes"/>
    <x v="2"/>
    <x v="3"/>
    <s v="Europe"/>
    <n v="26"/>
    <x v="2"/>
    <x v="1"/>
  </r>
  <r>
    <n v="22633"/>
    <x v="1"/>
    <x v="0"/>
    <n v="40000"/>
    <n v="0"/>
    <x v="4"/>
    <s v="Clerical"/>
    <s v="Yes"/>
    <x v="0"/>
    <x v="0"/>
    <s v="Europe"/>
    <n v="37"/>
    <x v="0"/>
    <x v="1"/>
  </r>
  <r>
    <n v="25649"/>
    <x v="1"/>
    <x v="0"/>
    <n v="30000"/>
    <n v="3"/>
    <x v="1"/>
    <s v="Clerical"/>
    <s v="Yes"/>
    <x v="0"/>
    <x v="0"/>
    <s v="Europe"/>
    <n v="42"/>
    <x v="0"/>
    <x v="1"/>
  </r>
  <r>
    <n v="14669"/>
    <x v="0"/>
    <x v="0"/>
    <n v="80000"/>
    <n v="4"/>
    <x v="4"/>
    <s v="Management"/>
    <s v="Yes"/>
    <x v="1"/>
    <x v="0"/>
    <s v="Pacific"/>
    <n v="36"/>
    <x v="0"/>
    <x v="0"/>
  </r>
  <r>
    <n v="19299"/>
    <x v="0"/>
    <x v="0"/>
    <n v="50000"/>
    <n v="0"/>
    <x v="4"/>
    <s v="Skilled Manual"/>
    <s v="Yes"/>
    <x v="0"/>
    <x v="0"/>
    <s v="Europe"/>
    <n v="36"/>
    <x v="0"/>
    <x v="1"/>
  </r>
  <r>
    <n v="20946"/>
    <x v="1"/>
    <x v="0"/>
    <n v="30000"/>
    <n v="0"/>
    <x v="1"/>
    <s v="Clerical"/>
    <s v="No"/>
    <x v="1"/>
    <x v="1"/>
    <s v="Europe"/>
    <n v="30"/>
    <x v="0"/>
    <x v="0"/>
  </r>
  <r>
    <n v="11451"/>
    <x v="1"/>
    <x v="1"/>
    <n v="70000"/>
    <n v="0"/>
    <x v="0"/>
    <s v="Professional"/>
    <s v="No"/>
    <x v="3"/>
    <x v="4"/>
    <s v="Pacific"/>
    <n v="31"/>
    <x v="0"/>
    <x v="1"/>
  </r>
  <r>
    <n v="25553"/>
    <x v="0"/>
    <x v="1"/>
    <n v="30000"/>
    <n v="1"/>
    <x v="0"/>
    <s v="Clerical"/>
    <s v="Yes"/>
    <x v="0"/>
    <x v="0"/>
    <s v="Europe"/>
    <n v="65"/>
    <x v="1"/>
    <x v="1"/>
  </r>
  <r>
    <n v="27951"/>
    <x v="1"/>
    <x v="1"/>
    <n v="80000"/>
    <n v="4"/>
    <x v="1"/>
    <s v="Professional"/>
    <s v="No"/>
    <x v="2"/>
    <x v="1"/>
    <s v="Europe"/>
    <n v="54"/>
    <x v="1"/>
    <x v="1"/>
  </r>
  <r>
    <n v="25026"/>
    <x v="0"/>
    <x v="1"/>
    <n v="20000"/>
    <n v="2"/>
    <x v="3"/>
    <s v="Clerical"/>
    <s v="Yes"/>
    <x v="4"/>
    <x v="2"/>
    <s v="Pacific"/>
    <n v="54"/>
    <x v="1"/>
    <x v="0"/>
  </r>
  <r>
    <n v="13673"/>
    <x v="1"/>
    <x v="0"/>
    <n v="20000"/>
    <n v="0"/>
    <x v="3"/>
    <s v="Manual"/>
    <s v="No"/>
    <x v="2"/>
    <x v="0"/>
    <s v="Europe"/>
    <n v="25"/>
    <x v="2"/>
    <x v="0"/>
  </r>
  <r>
    <n v="16043"/>
    <x v="1"/>
    <x v="1"/>
    <n v="10000"/>
    <n v="1"/>
    <x v="0"/>
    <s v="Manual"/>
    <s v="Yes"/>
    <x v="0"/>
    <x v="0"/>
    <s v="Europe"/>
    <n v="48"/>
    <x v="0"/>
    <x v="0"/>
  </r>
  <r>
    <n v="22399"/>
    <x v="1"/>
    <x v="1"/>
    <n v="10000"/>
    <n v="0"/>
    <x v="1"/>
    <s v="Manual"/>
    <s v="Yes"/>
    <x v="1"/>
    <x v="3"/>
    <s v="Pacific"/>
    <n v="26"/>
    <x v="2"/>
    <x v="1"/>
  </r>
  <r>
    <n v="27696"/>
    <x v="0"/>
    <x v="1"/>
    <n v="60000"/>
    <n v="1"/>
    <x v="0"/>
    <s v="Professional"/>
    <s v="Yes"/>
    <x v="1"/>
    <x v="2"/>
    <s v="Pacific"/>
    <n v="43"/>
    <x v="0"/>
    <x v="1"/>
  </r>
  <r>
    <n v="25313"/>
    <x v="1"/>
    <x v="1"/>
    <n v="10000"/>
    <n v="0"/>
    <x v="3"/>
    <s v="Manual"/>
    <s v="No"/>
    <x v="2"/>
    <x v="3"/>
    <s v="Europe"/>
    <n v="35"/>
    <x v="0"/>
    <x v="0"/>
  </r>
  <r>
    <n v="13813"/>
    <x v="0"/>
    <x v="0"/>
    <n v="30000"/>
    <n v="3"/>
    <x v="1"/>
    <s v="Clerical"/>
    <s v="No"/>
    <x v="0"/>
    <x v="0"/>
    <s v="Europe"/>
    <n v="42"/>
    <x v="0"/>
    <x v="0"/>
  </r>
  <r>
    <n v="18711"/>
    <x v="1"/>
    <x v="0"/>
    <n v="70000"/>
    <n v="5"/>
    <x v="0"/>
    <s v="Professional"/>
    <s v="Yes"/>
    <x v="3"/>
    <x v="4"/>
    <s v="Pacific"/>
    <n v="39"/>
    <x v="0"/>
    <x v="0"/>
  </r>
  <r>
    <n v="19650"/>
    <x v="0"/>
    <x v="0"/>
    <n v="30000"/>
    <n v="2"/>
    <x v="1"/>
    <s v="Clerical"/>
    <s v="No"/>
    <x v="2"/>
    <x v="0"/>
    <s v="Pacific"/>
    <n v="67"/>
    <x v="1"/>
    <x v="0"/>
  </r>
  <r>
    <n v="14135"/>
    <x v="0"/>
    <x v="1"/>
    <n v="20000"/>
    <n v="1"/>
    <x v="1"/>
    <s v="Manual"/>
    <s v="Yes"/>
    <x v="0"/>
    <x v="3"/>
    <s v="Europe"/>
    <n v="35"/>
    <x v="0"/>
    <x v="0"/>
  </r>
  <r>
    <n v="12833"/>
    <x v="1"/>
    <x v="0"/>
    <n v="20000"/>
    <n v="3"/>
    <x v="2"/>
    <s v="Manual"/>
    <s v="Yes"/>
    <x v="1"/>
    <x v="0"/>
    <s v="Europe"/>
    <n v="42"/>
    <x v="0"/>
    <x v="1"/>
  </r>
  <r>
    <n v="26849"/>
    <x v="0"/>
    <x v="1"/>
    <n v="10000"/>
    <n v="3"/>
    <x v="3"/>
    <s v="Manual"/>
    <s v="Yes"/>
    <x v="2"/>
    <x v="0"/>
    <s v="Europe"/>
    <n v="43"/>
    <x v="0"/>
    <x v="0"/>
  </r>
  <r>
    <n v="20962"/>
    <x v="0"/>
    <x v="0"/>
    <n v="20000"/>
    <n v="1"/>
    <x v="4"/>
    <s v="Clerical"/>
    <s v="Yes"/>
    <x v="0"/>
    <x v="0"/>
    <s v="Europe"/>
    <n v="45"/>
    <x v="0"/>
    <x v="0"/>
  </r>
  <r>
    <n v="28915"/>
    <x v="1"/>
    <x v="1"/>
    <n v="80000"/>
    <n v="5"/>
    <x v="2"/>
    <s v="Management"/>
    <s v="Yes"/>
    <x v="4"/>
    <x v="4"/>
    <s v="Europe"/>
    <n v="57"/>
    <x v="1"/>
    <x v="0"/>
  </r>
  <r>
    <n v="22830"/>
    <x v="0"/>
    <x v="1"/>
    <n v="120000"/>
    <n v="4"/>
    <x v="1"/>
    <s v="Management"/>
    <s v="Yes"/>
    <x v="4"/>
    <x v="4"/>
    <s v="Europe"/>
    <n v="56"/>
    <x v="1"/>
    <x v="0"/>
  </r>
  <r>
    <n v="14777"/>
    <x v="0"/>
    <x v="0"/>
    <n v="40000"/>
    <n v="0"/>
    <x v="0"/>
    <s v="Clerical"/>
    <s v="Yes"/>
    <x v="0"/>
    <x v="0"/>
    <s v="Europe"/>
    <n v="38"/>
    <x v="0"/>
    <x v="1"/>
  </r>
  <r>
    <n v="12591"/>
    <x v="0"/>
    <x v="0"/>
    <n v="30000"/>
    <n v="4"/>
    <x v="4"/>
    <s v="Clerical"/>
    <s v="Yes"/>
    <x v="0"/>
    <x v="0"/>
    <s v="Europe"/>
    <n v="45"/>
    <x v="0"/>
    <x v="0"/>
  </r>
  <r>
    <n v="24174"/>
    <x v="0"/>
    <x v="1"/>
    <n v="20000"/>
    <n v="0"/>
    <x v="0"/>
    <s v="Clerical"/>
    <s v="Yes"/>
    <x v="0"/>
    <x v="0"/>
    <s v="Pacific"/>
    <n v="27"/>
    <x v="2"/>
    <x v="1"/>
  </r>
  <r>
    <n v="24611"/>
    <x v="1"/>
    <x v="1"/>
    <n v="90000"/>
    <n v="0"/>
    <x v="0"/>
    <s v="Professional"/>
    <s v="No"/>
    <x v="3"/>
    <x v="4"/>
    <s v="Pacific"/>
    <n v="35"/>
    <x v="0"/>
    <x v="1"/>
  </r>
  <r>
    <n v="11340"/>
    <x v="0"/>
    <x v="0"/>
    <n v="10000"/>
    <n v="1"/>
    <x v="4"/>
    <s v="Clerical"/>
    <s v="Yes"/>
    <x v="0"/>
    <x v="0"/>
    <s v="Europe"/>
    <n v="70"/>
    <x v="1"/>
    <x v="1"/>
  </r>
  <r>
    <n v="25693"/>
    <x v="1"/>
    <x v="0"/>
    <n v="30000"/>
    <n v="5"/>
    <x v="4"/>
    <s v="Clerical"/>
    <s v="Yes"/>
    <x v="0"/>
    <x v="0"/>
    <s v="Europe"/>
    <n v="44"/>
    <x v="0"/>
    <x v="1"/>
  </r>
  <r>
    <n v="25555"/>
    <x v="0"/>
    <x v="0"/>
    <n v="10000"/>
    <n v="0"/>
    <x v="1"/>
    <s v="Manual"/>
    <s v="No"/>
    <x v="1"/>
    <x v="0"/>
    <s v="Pacific"/>
    <n v="26"/>
    <x v="2"/>
    <x v="1"/>
  </r>
  <r>
    <n v="22006"/>
    <x v="0"/>
    <x v="1"/>
    <n v="70000"/>
    <n v="5"/>
    <x v="1"/>
    <s v="Skilled Manual"/>
    <s v="Yes"/>
    <x v="4"/>
    <x v="2"/>
    <s v="Pacific"/>
    <n v="46"/>
    <x v="0"/>
    <x v="0"/>
  </r>
  <r>
    <n v="20060"/>
    <x v="1"/>
    <x v="0"/>
    <n v="30000"/>
    <n v="0"/>
    <x v="2"/>
    <s v="Manual"/>
    <s v="No"/>
    <x v="1"/>
    <x v="1"/>
    <s v="Europe"/>
    <n v="34"/>
    <x v="0"/>
    <x v="1"/>
  </r>
  <r>
    <n v="17702"/>
    <x v="0"/>
    <x v="1"/>
    <n v="10000"/>
    <n v="1"/>
    <x v="4"/>
    <s v="Manual"/>
    <s v="Yes"/>
    <x v="0"/>
    <x v="0"/>
    <s v="Europe"/>
    <n v="37"/>
    <x v="0"/>
    <x v="0"/>
  </r>
  <r>
    <n v="12503"/>
    <x v="1"/>
    <x v="0"/>
    <n v="30000"/>
    <n v="3"/>
    <x v="1"/>
    <s v="Clerical"/>
    <s v="Yes"/>
    <x v="2"/>
    <x v="0"/>
    <s v="Europe"/>
    <n v="27"/>
    <x v="2"/>
    <x v="0"/>
  </r>
  <r>
    <n v="23908"/>
    <x v="1"/>
    <x v="1"/>
    <n v="30000"/>
    <n v="1"/>
    <x v="0"/>
    <s v="Clerical"/>
    <s v="No"/>
    <x v="1"/>
    <x v="0"/>
    <s v="Europe"/>
    <n v="39"/>
    <x v="0"/>
    <x v="1"/>
  </r>
  <r>
    <n v="22527"/>
    <x v="1"/>
    <x v="0"/>
    <n v="20000"/>
    <n v="0"/>
    <x v="2"/>
    <s v="Manual"/>
    <s v="No"/>
    <x v="1"/>
    <x v="1"/>
    <s v="Europe"/>
    <n v="29"/>
    <x v="2"/>
    <x v="0"/>
  </r>
  <r>
    <n v="19057"/>
    <x v="0"/>
    <x v="0"/>
    <n v="120000"/>
    <n v="3"/>
    <x v="0"/>
    <s v="Management"/>
    <s v="No"/>
    <x v="2"/>
    <x v="4"/>
    <s v="Europe"/>
    <n v="52"/>
    <x v="1"/>
    <x v="1"/>
  </r>
  <r>
    <n v="18494"/>
    <x v="0"/>
    <x v="1"/>
    <n v="110000"/>
    <n v="5"/>
    <x v="0"/>
    <s v="Management"/>
    <s v="Yes"/>
    <x v="3"/>
    <x v="1"/>
    <s v="Pacific"/>
    <n v="48"/>
    <x v="0"/>
    <x v="1"/>
  </r>
  <r>
    <n v="11249"/>
    <x v="0"/>
    <x v="0"/>
    <n v="130000"/>
    <n v="3"/>
    <x v="1"/>
    <s v="Professional"/>
    <s v="Yes"/>
    <x v="4"/>
    <x v="0"/>
    <s v="Europe"/>
    <n v="51"/>
    <x v="1"/>
    <x v="1"/>
  </r>
  <r>
    <n v="21568"/>
    <x v="0"/>
    <x v="0"/>
    <n v="100000"/>
    <n v="0"/>
    <x v="2"/>
    <s v="Management"/>
    <s v="Yes"/>
    <x v="3"/>
    <x v="4"/>
    <s v="Pacific"/>
    <n v="34"/>
    <x v="0"/>
    <x v="1"/>
  </r>
  <r>
    <n v="13981"/>
    <x v="0"/>
    <x v="0"/>
    <n v="10000"/>
    <n v="5"/>
    <x v="2"/>
    <s v="Skilled Manual"/>
    <s v="No"/>
    <x v="4"/>
    <x v="3"/>
    <s v="Pacific"/>
    <n v="62"/>
    <x v="1"/>
    <x v="0"/>
  </r>
  <r>
    <n v="23432"/>
    <x v="1"/>
    <x v="1"/>
    <n v="70000"/>
    <n v="0"/>
    <x v="0"/>
    <s v="Professional"/>
    <s v="Yes"/>
    <x v="1"/>
    <x v="2"/>
    <s v="Pacific"/>
    <n v="37"/>
    <x v="0"/>
    <x v="1"/>
  </r>
  <r>
    <n v="22931"/>
    <x v="0"/>
    <x v="1"/>
    <n v="100000"/>
    <n v="5"/>
    <x v="4"/>
    <s v="Management"/>
    <s v="No"/>
    <x v="1"/>
    <x v="3"/>
    <s v="Pacific"/>
    <n v="78"/>
    <x v="1"/>
    <x v="1"/>
  </r>
  <r>
    <n v="18172"/>
    <x v="0"/>
    <x v="1"/>
    <n v="130000"/>
    <n v="4"/>
    <x v="2"/>
    <s v="Professional"/>
    <s v="Yes"/>
    <x v="4"/>
    <x v="0"/>
    <s v="Europe"/>
    <n v="55"/>
    <x v="1"/>
    <x v="0"/>
  </r>
  <r>
    <n v="12666"/>
    <x v="1"/>
    <x v="1"/>
    <n v="60000"/>
    <n v="0"/>
    <x v="0"/>
    <s v="Professional"/>
    <s v="No"/>
    <x v="3"/>
    <x v="1"/>
    <s v="Pacific"/>
    <n v="31"/>
    <x v="0"/>
    <x v="0"/>
  </r>
  <r>
    <n v="20598"/>
    <x v="0"/>
    <x v="1"/>
    <n v="100000"/>
    <n v="3"/>
    <x v="3"/>
    <s v="Professional"/>
    <s v="Yes"/>
    <x v="0"/>
    <x v="4"/>
    <s v="Europe"/>
    <n v="59"/>
    <x v="1"/>
    <x v="1"/>
  </r>
  <r>
    <n v="21375"/>
    <x v="1"/>
    <x v="1"/>
    <n v="20000"/>
    <n v="2"/>
    <x v="3"/>
    <s v="Clerical"/>
    <s v="Yes"/>
    <x v="2"/>
    <x v="2"/>
    <s v="Pacific"/>
    <n v="57"/>
    <x v="1"/>
    <x v="0"/>
  </r>
  <r>
    <n v="20839"/>
    <x v="1"/>
    <x v="0"/>
    <n v="30000"/>
    <n v="3"/>
    <x v="4"/>
    <s v="Clerical"/>
    <s v="Yes"/>
    <x v="0"/>
    <x v="0"/>
    <s v="Europe"/>
    <n v="47"/>
    <x v="0"/>
    <x v="1"/>
  </r>
  <r>
    <n v="21738"/>
    <x v="0"/>
    <x v="1"/>
    <n v="20000"/>
    <n v="1"/>
    <x v="4"/>
    <s v="Clerical"/>
    <s v="Yes"/>
    <x v="0"/>
    <x v="0"/>
    <s v="Europe"/>
    <n v="43"/>
    <x v="0"/>
    <x v="0"/>
  </r>
  <r>
    <n v="14164"/>
    <x v="1"/>
    <x v="0"/>
    <n v="50000"/>
    <n v="0"/>
    <x v="4"/>
    <s v="Skilled Manual"/>
    <s v="Yes"/>
    <x v="0"/>
    <x v="0"/>
    <s v="Europe"/>
    <n v="36"/>
    <x v="0"/>
    <x v="1"/>
  </r>
  <r>
    <n v="14193"/>
    <x v="1"/>
    <x v="0"/>
    <n v="100000"/>
    <n v="3"/>
    <x v="1"/>
    <s v="Management"/>
    <s v="Yes"/>
    <x v="3"/>
    <x v="4"/>
    <s v="Europe"/>
    <n v="56"/>
    <x v="1"/>
    <x v="0"/>
  </r>
  <r>
    <n v="12705"/>
    <x v="0"/>
    <x v="1"/>
    <n v="150000"/>
    <n v="0"/>
    <x v="0"/>
    <s v="Management"/>
    <s v="Yes"/>
    <x v="3"/>
    <x v="0"/>
    <s v="Pacific"/>
    <n v="37"/>
    <x v="0"/>
    <x v="1"/>
  </r>
  <r>
    <n v="22672"/>
    <x v="1"/>
    <x v="0"/>
    <n v="30000"/>
    <n v="2"/>
    <x v="1"/>
    <s v="Clerical"/>
    <s v="Yes"/>
    <x v="0"/>
    <x v="0"/>
    <s v="Europe"/>
    <n v="43"/>
    <x v="0"/>
    <x v="0"/>
  </r>
  <r>
    <n v="26219"/>
    <x v="0"/>
    <x v="0"/>
    <n v="40000"/>
    <n v="1"/>
    <x v="0"/>
    <s v="Skilled Manual"/>
    <s v="Yes"/>
    <x v="1"/>
    <x v="3"/>
    <s v="Europe"/>
    <n v="33"/>
    <x v="0"/>
    <x v="1"/>
  </r>
  <r>
    <n v="28468"/>
    <x v="0"/>
    <x v="0"/>
    <n v="10000"/>
    <n v="2"/>
    <x v="1"/>
    <s v="Manual"/>
    <s v="Yes"/>
    <x v="0"/>
    <x v="3"/>
    <s v="Europe"/>
    <n v="51"/>
    <x v="1"/>
    <x v="0"/>
  </r>
  <r>
    <n v="23419"/>
    <x v="1"/>
    <x v="0"/>
    <n v="70000"/>
    <n v="5"/>
    <x v="0"/>
    <s v="Professional"/>
    <s v="Yes"/>
    <x v="4"/>
    <x v="4"/>
    <s v="Pacific"/>
    <n v="39"/>
    <x v="0"/>
    <x v="0"/>
  </r>
  <r>
    <n v="17964"/>
    <x v="0"/>
    <x v="1"/>
    <n v="40000"/>
    <n v="0"/>
    <x v="4"/>
    <s v="Clerical"/>
    <s v="Yes"/>
    <x v="0"/>
    <x v="0"/>
    <s v="Europe"/>
    <n v="37"/>
    <x v="0"/>
    <x v="1"/>
  </r>
  <r>
    <n v="20919"/>
    <x v="1"/>
    <x v="0"/>
    <n v="30000"/>
    <n v="2"/>
    <x v="1"/>
    <s v="Clerical"/>
    <s v="Yes"/>
    <x v="2"/>
    <x v="0"/>
    <s v="Europe"/>
    <n v="42"/>
    <x v="0"/>
    <x v="0"/>
  </r>
  <r>
    <n v="20927"/>
    <x v="1"/>
    <x v="0"/>
    <n v="20000"/>
    <n v="5"/>
    <x v="2"/>
    <s v="Manual"/>
    <s v="Yes"/>
    <x v="2"/>
    <x v="0"/>
    <s v="Europe"/>
    <n v="27"/>
    <x v="2"/>
    <x v="0"/>
  </r>
  <r>
    <n v="13133"/>
    <x v="1"/>
    <x v="1"/>
    <n v="100000"/>
    <n v="5"/>
    <x v="0"/>
    <s v="Professional"/>
    <s v="Yes"/>
    <x v="1"/>
    <x v="2"/>
    <s v="Pacific"/>
    <n v="47"/>
    <x v="0"/>
    <x v="1"/>
  </r>
  <r>
    <n v="19626"/>
    <x v="0"/>
    <x v="1"/>
    <n v="70000"/>
    <n v="5"/>
    <x v="1"/>
    <s v="Skilled Manual"/>
    <s v="Yes"/>
    <x v="4"/>
    <x v="2"/>
    <s v="Pacific"/>
    <n v="45"/>
    <x v="0"/>
    <x v="0"/>
  </r>
  <r>
    <n v="21039"/>
    <x v="1"/>
    <x v="0"/>
    <n v="50000"/>
    <n v="0"/>
    <x v="4"/>
    <s v="Skilled Manual"/>
    <s v="No"/>
    <x v="0"/>
    <x v="0"/>
    <s v="Europe"/>
    <n v="37"/>
    <x v="0"/>
    <x v="1"/>
  </r>
  <r>
    <n v="12231"/>
    <x v="1"/>
    <x v="0"/>
    <n v="10000"/>
    <n v="2"/>
    <x v="1"/>
    <s v="Manual"/>
    <s v="Yes"/>
    <x v="0"/>
    <x v="0"/>
    <s v="Europe"/>
    <n v="51"/>
    <x v="1"/>
    <x v="1"/>
  </r>
  <r>
    <n v="25665"/>
    <x v="1"/>
    <x v="0"/>
    <n v="20000"/>
    <n v="0"/>
    <x v="2"/>
    <s v="Manual"/>
    <s v="No"/>
    <x v="1"/>
    <x v="3"/>
    <s v="Europe"/>
    <n v="28"/>
    <x v="2"/>
    <x v="0"/>
  </r>
  <r>
    <n v="24061"/>
    <x v="0"/>
    <x v="1"/>
    <n v="10000"/>
    <n v="4"/>
    <x v="3"/>
    <s v="Manual"/>
    <s v="Yes"/>
    <x v="1"/>
    <x v="0"/>
    <s v="Europe"/>
    <n v="40"/>
    <x v="0"/>
    <x v="1"/>
  </r>
  <r>
    <n v="26879"/>
    <x v="1"/>
    <x v="0"/>
    <n v="20000"/>
    <n v="0"/>
    <x v="2"/>
    <s v="Manual"/>
    <s v="No"/>
    <x v="1"/>
    <x v="1"/>
    <s v="Europe"/>
    <n v="30"/>
    <x v="0"/>
    <x v="0"/>
  </r>
  <r>
    <n v="12284"/>
    <x v="0"/>
    <x v="0"/>
    <n v="30000"/>
    <n v="0"/>
    <x v="0"/>
    <s v="Clerical"/>
    <s v="No"/>
    <x v="0"/>
    <x v="0"/>
    <s v="Europe"/>
    <n v="36"/>
    <x v="0"/>
    <x v="1"/>
  </r>
  <r>
    <n v="26654"/>
    <x v="0"/>
    <x v="0"/>
    <n v="90000"/>
    <n v="1"/>
    <x v="4"/>
    <s v="Management"/>
    <s v="Yes"/>
    <x v="0"/>
    <x v="0"/>
    <s v="Pacific"/>
    <n v="37"/>
    <x v="0"/>
    <x v="1"/>
  </r>
  <r>
    <n v="14545"/>
    <x v="0"/>
    <x v="0"/>
    <n v="10000"/>
    <n v="2"/>
    <x v="1"/>
    <s v="Manual"/>
    <s v="Yes"/>
    <x v="0"/>
    <x v="3"/>
    <s v="Europe"/>
    <n v="49"/>
    <x v="0"/>
    <x v="0"/>
  </r>
  <r>
    <n v="24201"/>
    <x v="0"/>
    <x v="0"/>
    <n v="10000"/>
    <n v="2"/>
    <x v="2"/>
    <s v="Manual"/>
    <s v="Yes"/>
    <x v="0"/>
    <x v="0"/>
    <s v="Europe"/>
    <n v="37"/>
    <x v="0"/>
    <x v="1"/>
  </r>
  <r>
    <n v="20625"/>
    <x v="0"/>
    <x v="1"/>
    <n v="100000"/>
    <n v="0"/>
    <x v="2"/>
    <s v="Management"/>
    <s v="Yes"/>
    <x v="4"/>
    <x v="4"/>
    <s v="Pacific"/>
    <n v="35"/>
    <x v="0"/>
    <x v="1"/>
  </r>
  <r>
    <n v="16390"/>
    <x v="1"/>
    <x v="1"/>
    <n v="30000"/>
    <n v="1"/>
    <x v="0"/>
    <s v="Clerical"/>
    <s v="No"/>
    <x v="0"/>
    <x v="0"/>
    <s v="Europe"/>
    <n v="38"/>
    <x v="0"/>
    <x v="1"/>
  </r>
  <r>
    <n v="14804"/>
    <x v="1"/>
    <x v="0"/>
    <n v="10000"/>
    <n v="3"/>
    <x v="3"/>
    <s v="Manual"/>
    <s v="Yes"/>
    <x v="2"/>
    <x v="0"/>
    <s v="Europe"/>
    <n v="43"/>
    <x v="0"/>
    <x v="0"/>
  </r>
  <r>
    <n v="12629"/>
    <x v="1"/>
    <x v="1"/>
    <n v="20000"/>
    <n v="1"/>
    <x v="1"/>
    <s v="Manual"/>
    <s v="No"/>
    <x v="0"/>
    <x v="0"/>
    <s v="Europe"/>
    <n v="37"/>
    <x v="0"/>
    <x v="0"/>
  </r>
  <r>
    <n v="14696"/>
    <x v="1"/>
    <x v="1"/>
    <n v="10000"/>
    <n v="0"/>
    <x v="3"/>
    <s v="Manual"/>
    <s v="No"/>
    <x v="2"/>
    <x v="0"/>
    <s v="Europe"/>
    <n v="34"/>
    <x v="0"/>
    <x v="0"/>
  </r>
  <r>
    <n v="22005"/>
    <x v="0"/>
    <x v="0"/>
    <n v="70000"/>
    <n v="5"/>
    <x v="1"/>
    <s v="Skilled Manual"/>
    <s v="No"/>
    <x v="4"/>
    <x v="2"/>
    <s v="Pacific"/>
    <n v="46"/>
    <x v="0"/>
    <x v="0"/>
  </r>
  <r>
    <n v="14544"/>
    <x v="1"/>
    <x v="1"/>
    <n v="10000"/>
    <n v="1"/>
    <x v="1"/>
    <s v="Manual"/>
    <s v="Yes"/>
    <x v="0"/>
    <x v="0"/>
    <s v="Europe"/>
    <n v="49"/>
    <x v="0"/>
    <x v="0"/>
  </r>
  <r>
    <n v="14312"/>
    <x v="0"/>
    <x v="0"/>
    <n v="60000"/>
    <n v="1"/>
    <x v="1"/>
    <s v="Skilled Manual"/>
    <s v="Yes"/>
    <x v="1"/>
    <x v="2"/>
    <s v="Pacific"/>
    <n v="45"/>
    <x v="0"/>
    <x v="0"/>
  </r>
  <r>
    <n v="29120"/>
    <x v="1"/>
    <x v="0"/>
    <n v="100000"/>
    <n v="1"/>
    <x v="0"/>
    <s v="Management"/>
    <s v="Yes"/>
    <x v="3"/>
    <x v="1"/>
    <s v="Pacific"/>
    <n v="48"/>
    <x v="0"/>
    <x v="0"/>
  </r>
  <r>
    <n v="24187"/>
    <x v="1"/>
    <x v="0"/>
    <n v="30000"/>
    <n v="3"/>
    <x v="4"/>
    <s v="Clerical"/>
    <s v="No"/>
    <x v="0"/>
    <x v="0"/>
    <s v="Europe"/>
    <n v="46"/>
    <x v="0"/>
    <x v="1"/>
  </r>
  <r>
    <n v="15758"/>
    <x v="0"/>
    <x v="1"/>
    <n v="130000"/>
    <n v="0"/>
    <x v="4"/>
    <s v="Management"/>
    <s v="Yes"/>
    <x v="0"/>
    <x v="2"/>
    <s v="Pacific"/>
    <n v="48"/>
    <x v="0"/>
    <x v="0"/>
  </r>
  <r>
    <n v="29094"/>
    <x v="0"/>
    <x v="1"/>
    <n v="30000"/>
    <n v="3"/>
    <x v="2"/>
    <s v="Skilled Manual"/>
    <s v="Yes"/>
    <x v="2"/>
    <x v="2"/>
    <s v="Pacific"/>
    <n v="54"/>
    <x v="1"/>
    <x v="1"/>
  </r>
  <r>
    <n v="28319"/>
    <x v="1"/>
    <x v="0"/>
    <n v="60000"/>
    <n v="1"/>
    <x v="1"/>
    <s v="Skilled Manual"/>
    <s v="No"/>
    <x v="1"/>
    <x v="0"/>
    <s v="Pacific"/>
    <n v="46"/>
    <x v="0"/>
    <x v="1"/>
  </r>
  <r>
    <n v="16406"/>
    <x v="0"/>
    <x v="1"/>
    <n v="40000"/>
    <n v="0"/>
    <x v="0"/>
    <s v="Clerical"/>
    <s v="No"/>
    <x v="0"/>
    <x v="0"/>
    <s v="Europe"/>
    <n v="38"/>
    <x v="0"/>
    <x v="1"/>
  </r>
  <r>
    <n v="20923"/>
    <x v="0"/>
    <x v="0"/>
    <n v="40000"/>
    <n v="1"/>
    <x v="0"/>
    <s v="Skilled Manual"/>
    <s v="Yes"/>
    <x v="0"/>
    <x v="0"/>
    <s v="Europe"/>
    <n v="42"/>
    <x v="0"/>
    <x v="1"/>
  </r>
  <r>
    <n v="11378"/>
    <x v="1"/>
    <x v="0"/>
    <n v="10000"/>
    <n v="1"/>
    <x v="2"/>
    <s v="Manual"/>
    <s v="No"/>
    <x v="1"/>
    <x v="1"/>
    <s v="Europe"/>
    <n v="46"/>
    <x v="0"/>
    <x v="1"/>
  </r>
  <r>
    <n v="20851"/>
    <x v="1"/>
    <x v="1"/>
    <n v="20000"/>
    <n v="0"/>
    <x v="1"/>
    <s v="Manual"/>
    <s v="No"/>
    <x v="1"/>
    <x v="1"/>
    <s v="Europe"/>
    <n v="36"/>
    <x v="0"/>
    <x v="1"/>
  </r>
  <r>
    <n v="21557"/>
    <x v="1"/>
    <x v="0"/>
    <n v="110000"/>
    <n v="0"/>
    <x v="1"/>
    <s v="Management"/>
    <s v="Yes"/>
    <x v="4"/>
    <x v="4"/>
    <s v="Pacific"/>
    <n v="32"/>
    <x v="0"/>
    <x v="1"/>
  </r>
  <r>
    <n v="26663"/>
    <x v="1"/>
    <x v="0"/>
    <n v="60000"/>
    <n v="2"/>
    <x v="0"/>
    <s v="Professional"/>
    <s v="No"/>
    <x v="1"/>
    <x v="0"/>
    <s v="Pacific"/>
    <n v="39"/>
    <x v="0"/>
    <x v="1"/>
  </r>
  <r>
    <n v="11896"/>
    <x v="0"/>
    <x v="1"/>
    <n v="100000"/>
    <n v="1"/>
    <x v="4"/>
    <s v="Management"/>
    <s v="Yes"/>
    <x v="0"/>
    <x v="1"/>
    <s v="Pacific"/>
    <n v="36"/>
    <x v="0"/>
    <x v="1"/>
  </r>
  <r>
    <n v="14189"/>
    <x v="0"/>
    <x v="0"/>
    <n v="90000"/>
    <n v="4"/>
    <x v="2"/>
    <s v="Professional"/>
    <s v="No"/>
    <x v="2"/>
    <x v="1"/>
    <s v="Europe"/>
    <n v="54"/>
    <x v="1"/>
    <x v="1"/>
  </r>
  <r>
    <n v="13136"/>
    <x v="0"/>
    <x v="0"/>
    <n v="30000"/>
    <n v="2"/>
    <x v="1"/>
    <s v="Clerical"/>
    <s v="No"/>
    <x v="2"/>
    <x v="2"/>
    <s v="Pacific"/>
    <n v="69"/>
    <x v="1"/>
    <x v="0"/>
  </r>
  <r>
    <n v="25906"/>
    <x v="1"/>
    <x v="0"/>
    <n v="10000"/>
    <n v="5"/>
    <x v="2"/>
    <s v="Skilled Manual"/>
    <s v="No"/>
    <x v="2"/>
    <x v="3"/>
    <s v="Pacific"/>
    <n v="62"/>
    <x v="1"/>
    <x v="0"/>
  </r>
  <r>
    <n v="17926"/>
    <x v="1"/>
    <x v="0"/>
    <n v="40000"/>
    <n v="0"/>
    <x v="0"/>
    <s v="Clerical"/>
    <s v="No"/>
    <x v="0"/>
    <x v="0"/>
    <s v="Pacific"/>
    <n v="28"/>
    <x v="2"/>
    <x v="1"/>
  </r>
  <r>
    <n v="26928"/>
    <x v="1"/>
    <x v="1"/>
    <n v="30000"/>
    <n v="1"/>
    <x v="0"/>
    <s v="Clerical"/>
    <s v="Yes"/>
    <x v="0"/>
    <x v="0"/>
    <s v="Europe"/>
    <n v="62"/>
    <x v="1"/>
    <x v="1"/>
  </r>
  <r>
    <n v="20897"/>
    <x v="0"/>
    <x v="0"/>
    <n v="30000"/>
    <n v="1"/>
    <x v="0"/>
    <s v="Skilled Manual"/>
    <s v="Yes"/>
    <x v="2"/>
    <x v="0"/>
    <s v="Europe"/>
    <n v="40"/>
    <x v="0"/>
    <x v="0"/>
  </r>
  <r>
    <n v="28207"/>
    <x v="0"/>
    <x v="1"/>
    <n v="80000"/>
    <n v="4"/>
    <x v="4"/>
    <s v="Management"/>
    <s v="Yes"/>
    <x v="1"/>
    <x v="0"/>
    <s v="Pacific"/>
    <n v="36"/>
    <x v="0"/>
    <x v="1"/>
  </r>
  <r>
    <n v="25923"/>
    <x v="1"/>
    <x v="1"/>
    <n v="10000"/>
    <n v="2"/>
    <x v="3"/>
    <s v="Clerical"/>
    <s v="Yes"/>
    <x v="2"/>
    <x v="2"/>
    <s v="Pacific"/>
    <n v="58"/>
    <x v="1"/>
    <x v="0"/>
  </r>
  <r>
    <n v="11000"/>
    <x v="0"/>
    <x v="1"/>
    <n v="90000"/>
    <n v="2"/>
    <x v="0"/>
    <s v="Professional"/>
    <s v="Yes"/>
    <x v="0"/>
    <x v="3"/>
    <s v="Pacific"/>
    <n v="40"/>
    <x v="0"/>
    <x v="1"/>
  </r>
  <r>
    <n v="20974"/>
    <x v="0"/>
    <x v="1"/>
    <n v="10000"/>
    <n v="2"/>
    <x v="0"/>
    <s v="Clerical"/>
    <s v="Yes"/>
    <x v="1"/>
    <x v="0"/>
    <s v="Europe"/>
    <n v="66"/>
    <x v="1"/>
    <x v="0"/>
  </r>
  <r>
    <n v="28758"/>
    <x v="0"/>
    <x v="1"/>
    <n v="40000"/>
    <n v="2"/>
    <x v="1"/>
    <s v="Clerical"/>
    <s v="Yes"/>
    <x v="1"/>
    <x v="3"/>
    <s v="Europe"/>
    <n v="35"/>
    <x v="0"/>
    <x v="1"/>
  </r>
  <r>
    <n v="11381"/>
    <x v="0"/>
    <x v="0"/>
    <n v="20000"/>
    <n v="2"/>
    <x v="1"/>
    <s v="Manual"/>
    <s v="Yes"/>
    <x v="1"/>
    <x v="1"/>
    <s v="Europe"/>
    <n v="47"/>
    <x v="0"/>
    <x v="1"/>
  </r>
  <r>
    <n v="17522"/>
    <x v="0"/>
    <x v="1"/>
    <n v="120000"/>
    <n v="4"/>
    <x v="0"/>
    <s v="Management"/>
    <s v="Yes"/>
    <x v="1"/>
    <x v="1"/>
    <s v="Pacific"/>
    <n v="47"/>
    <x v="0"/>
    <x v="0"/>
  </r>
  <r>
    <n v="21207"/>
    <x v="0"/>
    <x v="1"/>
    <n v="60000"/>
    <n v="1"/>
    <x v="1"/>
    <s v="Skilled Manual"/>
    <s v="Yes"/>
    <x v="1"/>
    <x v="2"/>
    <s v="Pacific"/>
    <n v="46"/>
    <x v="0"/>
    <x v="0"/>
  </r>
  <r>
    <n v="28102"/>
    <x v="0"/>
    <x v="1"/>
    <n v="20000"/>
    <n v="4"/>
    <x v="2"/>
    <s v="Skilled Manual"/>
    <s v="Yes"/>
    <x v="2"/>
    <x v="2"/>
    <s v="Pacific"/>
    <n v="58"/>
    <x v="1"/>
    <x v="1"/>
  </r>
  <r>
    <n v="23105"/>
    <x v="1"/>
    <x v="1"/>
    <n v="40000"/>
    <n v="3"/>
    <x v="3"/>
    <s v="Clerical"/>
    <s v="No"/>
    <x v="2"/>
    <x v="2"/>
    <s v="Pacific"/>
    <n v="52"/>
    <x v="1"/>
    <x v="1"/>
  </r>
  <r>
    <n v="18740"/>
    <x v="0"/>
    <x v="1"/>
    <n v="80000"/>
    <n v="5"/>
    <x v="0"/>
    <s v="Professional"/>
    <s v="No"/>
    <x v="1"/>
    <x v="0"/>
    <s v="Pacific"/>
    <n v="47"/>
    <x v="0"/>
    <x v="1"/>
  </r>
  <r>
    <n v="21213"/>
    <x v="1"/>
    <x v="1"/>
    <n v="70000"/>
    <n v="0"/>
    <x v="0"/>
    <s v="Professional"/>
    <s v="No"/>
    <x v="1"/>
    <x v="2"/>
    <s v="Pacific"/>
    <n v="41"/>
    <x v="0"/>
    <x v="0"/>
  </r>
  <r>
    <n v="17352"/>
    <x v="0"/>
    <x v="1"/>
    <n v="50000"/>
    <n v="2"/>
    <x v="4"/>
    <s v="Management"/>
    <s v="Yes"/>
    <x v="1"/>
    <x v="2"/>
    <s v="Pacific"/>
    <n v="64"/>
    <x v="1"/>
    <x v="1"/>
  </r>
  <r>
    <n v="14154"/>
    <x v="0"/>
    <x v="1"/>
    <n v="30000"/>
    <n v="0"/>
    <x v="0"/>
    <s v="Clerical"/>
    <s v="Yes"/>
    <x v="0"/>
    <x v="0"/>
    <s v="Europe"/>
    <n v="35"/>
    <x v="0"/>
    <x v="1"/>
  </r>
  <r>
    <n v="19066"/>
    <x v="0"/>
    <x v="1"/>
    <n v="130000"/>
    <n v="4"/>
    <x v="1"/>
    <s v="Professional"/>
    <s v="No"/>
    <x v="4"/>
    <x v="4"/>
    <s v="Europe"/>
    <n v="54"/>
    <x v="1"/>
    <x v="0"/>
  </r>
  <r>
    <n v="11386"/>
    <x v="0"/>
    <x v="0"/>
    <n v="30000"/>
    <n v="3"/>
    <x v="0"/>
    <s v="Clerical"/>
    <s v="Yes"/>
    <x v="0"/>
    <x v="0"/>
    <s v="Europe"/>
    <n v="45"/>
    <x v="0"/>
    <x v="0"/>
  </r>
  <r>
    <n v="20228"/>
    <x v="0"/>
    <x v="1"/>
    <n v="100000"/>
    <n v="0"/>
    <x v="4"/>
    <s v="Management"/>
    <s v="Yes"/>
    <x v="0"/>
    <x v="1"/>
    <s v="Pacific"/>
    <n v="40"/>
    <x v="0"/>
    <x v="1"/>
  </r>
  <r>
    <n v="16675"/>
    <x v="1"/>
    <x v="0"/>
    <n v="160000"/>
    <n v="0"/>
    <x v="4"/>
    <s v="Management"/>
    <s v="No"/>
    <x v="4"/>
    <x v="0"/>
    <s v="Pacific"/>
    <n v="47"/>
    <x v="0"/>
    <x v="1"/>
  </r>
  <r>
    <n v="16410"/>
    <x v="1"/>
    <x v="0"/>
    <n v="10000"/>
    <n v="4"/>
    <x v="3"/>
    <s v="Manual"/>
    <s v="Yes"/>
    <x v="2"/>
    <x v="0"/>
    <s v="Europe"/>
    <n v="41"/>
    <x v="0"/>
    <x v="1"/>
  </r>
  <r>
    <n v="27760"/>
    <x v="1"/>
    <x v="0"/>
    <n v="40000"/>
    <n v="0"/>
    <x v="4"/>
    <s v="Clerical"/>
    <s v="No"/>
    <x v="0"/>
    <x v="0"/>
    <s v="Europe"/>
    <n v="37"/>
    <x v="0"/>
    <x v="1"/>
  </r>
  <r>
    <n v="22930"/>
    <x v="0"/>
    <x v="1"/>
    <n v="90000"/>
    <n v="4"/>
    <x v="0"/>
    <s v="Professional"/>
    <s v="Yes"/>
    <x v="0"/>
    <x v="3"/>
    <s v="Pacific"/>
    <n v="38"/>
    <x v="0"/>
    <x v="1"/>
  </r>
  <r>
    <n v="23780"/>
    <x v="1"/>
    <x v="1"/>
    <n v="40000"/>
    <n v="2"/>
    <x v="1"/>
    <s v="Clerical"/>
    <s v="No"/>
    <x v="2"/>
    <x v="0"/>
    <s v="Europe"/>
    <n v="36"/>
    <x v="0"/>
    <x v="1"/>
  </r>
  <r>
    <n v="20994"/>
    <x v="0"/>
    <x v="0"/>
    <n v="20000"/>
    <n v="0"/>
    <x v="0"/>
    <s v="Clerical"/>
    <s v="No"/>
    <x v="0"/>
    <x v="0"/>
    <s v="Pacific"/>
    <n v="26"/>
    <x v="2"/>
    <x v="1"/>
  </r>
  <r>
    <n v="28379"/>
    <x v="0"/>
    <x v="1"/>
    <n v="30000"/>
    <n v="1"/>
    <x v="0"/>
    <s v="Skilled Manual"/>
    <s v="Yes"/>
    <x v="2"/>
    <x v="0"/>
    <s v="Europe"/>
    <n v="40"/>
    <x v="0"/>
    <x v="0"/>
  </r>
  <r>
    <n v="14865"/>
    <x v="1"/>
    <x v="1"/>
    <n v="40000"/>
    <n v="2"/>
    <x v="1"/>
    <s v="Clerical"/>
    <s v="Yes"/>
    <x v="2"/>
    <x v="3"/>
    <s v="Europe"/>
    <n v="36"/>
    <x v="0"/>
    <x v="0"/>
  </r>
  <r>
    <n v="12663"/>
    <x v="0"/>
    <x v="0"/>
    <n v="90000"/>
    <n v="5"/>
    <x v="3"/>
    <s v="Skilled Manual"/>
    <s v="Yes"/>
    <x v="2"/>
    <x v="4"/>
    <s v="Europe"/>
    <n v="59"/>
    <x v="1"/>
    <x v="0"/>
  </r>
  <r>
    <n v="24898"/>
    <x v="1"/>
    <x v="0"/>
    <n v="80000"/>
    <n v="0"/>
    <x v="0"/>
    <s v="Professional"/>
    <s v="Yes"/>
    <x v="4"/>
    <x v="4"/>
    <s v="Pacific"/>
    <n v="32"/>
    <x v="0"/>
    <x v="0"/>
  </r>
  <r>
    <n v="19508"/>
    <x v="0"/>
    <x v="1"/>
    <n v="10000"/>
    <n v="0"/>
    <x v="3"/>
    <s v="Manual"/>
    <s v="No"/>
    <x v="2"/>
    <x v="0"/>
    <s v="Europe"/>
    <n v="30"/>
    <x v="0"/>
    <x v="0"/>
  </r>
  <r>
    <n v="11489"/>
    <x v="1"/>
    <x v="0"/>
    <n v="20000"/>
    <n v="0"/>
    <x v="3"/>
    <s v="Manual"/>
    <s v="No"/>
    <x v="2"/>
    <x v="3"/>
    <s v="Europe"/>
    <n v="35"/>
    <x v="0"/>
    <x v="1"/>
  </r>
  <r>
    <n v="18160"/>
    <x v="0"/>
    <x v="1"/>
    <n v="130000"/>
    <n v="3"/>
    <x v="2"/>
    <s v="Professional"/>
    <s v="Yes"/>
    <x v="3"/>
    <x v="2"/>
    <s v="Europe"/>
    <n v="51"/>
    <x v="1"/>
    <x v="1"/>
  </r>
  <r>
    <n v="25241"/>
    <x v="0"/>
    <x v="1"/>
    <n v="90000"/>
    <n v="2"/>
    <x v="0"/>
    <s v="Professional"/>
    <s v="Yes"/>
    <x v="1"/>
    <x v="2"/>
    <s v="Pacific"/>
    <n v="47"/>
    <x v="0"/>
    <x v="0"/>
  </r>
  <r>
    <n v="24369"/>
    <x v="0"/>
    <x v="1"/>
    <n v="80000"/>
    <n v="5"/>
    <x v="4"/>
    <s v="Management"/>
    <s v="No"/>
    <x v="2"/>
    <x v="0"/>
    <s v="Pacific"/>
    <n v="39"/>
    <x v="0"/>
    <x v="0"/>
  </r>
  <r>
    <n v="27165"/>
    <x v="1"/>
    <x v="1"/>
    <n v="20000"/>
    <n v="0"/>
    <x v="3"/>
    <s v="Manual"/>
    <s v="No"/>
    <x v="2"/>
    <x v="0"/>
    <s v="Europe"/>
    <n v="34"/>
    <x v="0"/>
    <x v="0"/>
  </r>
  <r>
    <n v="29424"/>
    <x v="0"/>
    <x v="1"/>
    <n v="10000"/>
    <n v="0"/>
    <x v="3"/>
    <s v="Manual"/>
    <s v="Yes"/>
    <x v="2"/>
    <x v="0"/>
    <s v="Europe"/>
    <n v="32"/>
    <x v="0"/>
    <x v="0"/>
  </r>
  <r>
    <n v="15926"/>
    <x v="1"/>
    <x v="0"/>
    <n v="120000"/>
    <n v="3"/>
    <x v="2"/>
    <s v="Professional"/>
    <s v="Yes"/>
    <x v="3"/>
    <x v="2"/>
    <s v="Europe"/>
    <n v="50"/>
    <x v="1"/>
    <x v="1"/>
  </r>
  <r>
    <n v="14554"/>
    <x v="0"/>
    <x v="1"/>
    <n v="20000"/>
    <n v="1"/>
    <x v="0"/>
    <s v="Clerical"/>
    <s v="Yes"/>
    <x v="0"/>
    <x v="0"/>
    <s v="Europe"/>
    <n v="66"/>
    <x v="1"/>
    <x v="0"/>
  </r>
  <r>
    <n v="16468"/>
    <x v="1"/>
    <x v="1"/>
    <n v="30000"/>
    <n v="0"/>
    <x v="1"/>
    <s v="Clerical"/>
    <s v="Yes"/>
    <x v="1"/>
    <x v="1"/>
    <s v="Europe"/>
    <n v="30"/>
    <x v="0"/>
    <x v="0"/>
  </r>
  <r>
    <n v="19174"/>
    <x v="1"/>
    <x v="0"/>
    <n v="30000"/>
    <n v="0"/>
    <x v="2"/>
    <s v="Manual"/>
    <s v="No"/>
    <x v="1"/>
    <x v="1"/>
    <s v="Europe"/>
    <n v="32"/>
    <x v="0"/>
    <x v="1"/>
  </r>
  <r>
    <n v="19183"/>
    <x v="1"/>
    <x v="1"/>
    <n v="10000"/>
    <n v="0"/>
    <x v="3"/>
    <s v="Manual"/>
    <s v="Yes"/>
    <x v="2"/>
    <x v="3"/>
    <s v="Europe"/>
    <n v="35"/>
    <x v="0"/>
    <x v="0"/>
  </r>
  <r>
    <n v="13683"/>
    <x v="1"/>
    <x v="0"/>
    <n v="30000"/>
    <n v="0"/>
    <x v="2"/>
    <s v="Manual"/>
    <s v="No"/>
    <x v="1"/>
    <x v="1"/>
    <s v="Europe"/>
    <n v="32"/>
    <x v="0"/>
    <x v="0"/>
  </r>
  <r>
    <n v="17848"/>
    <x v="1"/>
    <x v="1"/>
    <n v="30000"/>
    <n v="0"/>
    <x v="1"/>
    <s v="Clerical"/>
    <s v="No"/>
    <x v="1"/>
    <x v="1"/>
    <s v="Europe"/>
    <n v="31"/>
    <x v="0"/>
    <x v="1"/>
  </r>
  <r>
    <n v="17894"/>
    <x v="0"/>
    <x v="0"/>
    <n v="20000"/>
    <n v="1"/>
    <x v="0"/>
    <s v="Clerical"/>
    <s v="Yes"/>
    <x v="0"/>
    <x v="0"/>
    <s v="Europe"/>
    <n v="50"/>
    <x v="1"/>
    <x v="1"/>
  </r>
  <r>
    <n v="25651"/>
    <x v="0"/>
    <x v="1"/>
    <n v="40000"/>
    <n v="1"/>
    <x v="0"/>
    <s v="Skilled Manual"/>
    <s v="No"/>
    <x v="0"/>
    <x v="0"/>
    <s v="Europe"/>
    <n v="43"/>
    <x v="0"/>
    <x v="1"/>
  </r>
  <r>
    <n v="22936"/>
    <x v="1"/>
    <x v="0"/>
    <n v="60000"/>
    <n v="1"/>
    <x v="1"/>
    <s v="Skilled Manual"/>
    <s v="No"/>
    <x v="1"/>
    <x v="0"/>
    <s v="Pacific"/>
    <n v="45"/>
    <x v="0"/>
    <x v="1"/>
  </r>
  <r>
    <n v="23915"/>
    <x v="0"/>
    <x v="1"/>
    <n v="20000"/>
    <n v="2"/>
    <x v="2"/>
    <s v="Manual"/>
    <s v="Yes"/>
    <x v="2"/>
    <x v="0"/>
    <s v="Europe"/>
    <n v="42"/>
    <x v="0"/>
    <x v="0"/>
  </r>
  <r>
    <n v="24121"/>
    <x v="1"/>
    <x v="0"/>
    <n v="30000"/>
    <n v="0"/>
    <x v="1"/>
    <s v="Clerical"/>
    <s v="No"/>
    <x v="1"/>
    <x v="0"/>
    <s v="Europe"/>
    <n v="29"/>
    <x v="2"/>
    <x v="1"/>
  </r>
  <r>
    <n v="27878"/>
    <x v="1"/>
    <x v="1"/>
    <n v="20000"/>
    <n v="0"/>
    <x v="1"/>
    <s v="Manual"/>
    <s v="No"/>
    <x v="0"/>
    <x v="0"/>
    <s v="Pacific"/>
    <n v="28"/>
    <x v="2"/>
    <x v="1"/>
  </r>
  <r>
    <n v="13572"/>
    <x v="1"/>
    <x v="1"/>
    <n v="10000"/>
    <n v="3"/>
    <x v="2"/>
    <s v="Manual"/>
    <s v="Yes"/>
    <x v="0"/>
    <x v="0"/>
    <s v="Europe"/>
    <n v="37"/>
    <x v="0"/>
    <x v="1"/>
  </r>
  <r>
    <n v="27941"/>
    <x v="0"/>
    <x v="0"/>
    <n v="80000"/>
    <n v="4"/>
    <x v="1"/>
    <s v="Professional"/>
    <s v="Yes"/>
    <x v="2"/>
    <x v="1"/>
    <s v="Europe"/>
    <n v="53"/>
    <x v="1"/>
    <x v="0"/>
  </r>
  <r>
    <n v="26354"/>
    <x v="1"/>
    <x v="1"/>
    <n v="40000"/>
    <n v="0"/>
    <x v="4"/>
    <s v="Clerical"/>
    <s v="No"/>
    <x v="0"/>
    <x v="0"/>
    <s v="Europe"/>
    <n v="38"/>
    <x v="0"/>
    <x v="1"/>
  </r>
  <r>
    <n v="14785"/>
    <x v="1"/>
    <x v="1"/>
    <n v="30000"/>
    <n v="1"/>
    <x v="0"/>
    <s v="Clerical"/>
    <s v="No"/>
    <x v="1"/>
    <x v="3"/>
    <s v="Europe"/>
    <n v="39"/>
    <x v="0"/>
    <x v="0"/>
  </r>
  <r>
    <n v="17238"/>
    <x v="1"/>
    <x v="1"/>
    <n v="80000"/>
    <n v="0"/>
    <x v="0"/>
    <s v="Professional"/>
    <s v="Yes"/>
    <x v="4"/>
    <x v="4"/>
    <s v="Pacific"/>
    <n v="32"/>
    <x v="0"/>
    <x v="0"/>
  </r>
  <r>
    <n v="23608"/>
    <x v="0"/>
    <x v="0"/>
    <n v="150000"/>
    <n v="3"/>
    <x v="2"/>
    <s v="Professional"/>
    <s v="Yes"/>
    <x v="4"/>
    <x v="0"/>
    <s v="Europe"/>
    <n v="51"/>
    <x v="1"/>
    <x v="1"/>
  </r>
  <r>
    <n v="22538"/>
    <x v="1"/>
    <x v="0"/>
    <n v="10000"/>
    <n v="0"/>
    <x v="3"/>
    <s v="Manual"/>
    <s v="Yes"/>
    <x v="2"/>
    <x v="3"/>
    <s v="Europe"/>
    <n v="33"/>
    <x v="0"/>
    <x v="0"/>
  </r>
  <r>
    <n v="12332"/>
    <x v="0"/>
    <x v="1"/>
    <n v="90000"/>
    <n v="4"/>
    <x v="2"/>
    <s v="Management"/>
    <s v="Yes"/>
    <x v="4"/>
    <x v="2"/>
    <s v="Europe"/>
    <n v="58"/>
    <x v="1"/>
    <x v="1"/>
  </r>
  <r>
    <n v="17230"/>
    <x v="0"/>
    <x v="1"/>
    <n v="80000"/>
    <n v="0"/>
    <x v="0"/>
    <s v="Professional"/>
    <s v="Yes"/>
    <x v="4"/>
    <x v="4"/>
    <s v="Pacific"/>
    <n v="30"/>
    <x v="0"/>
    <x v="0"/>
  </r>
  <r>
    <n v="13082"/>
    <x v="1"/>
    <x v="1"/>
    <n v="130000"/>
    <n v="0"/>
    <x v="4"/>
    <s v="Management"/>
    <s v="Yes"/>
    <x v="0"/>
    <x v="1"/>
    <s v="Pacific"/>
    <n v="48"/>
    <x v="0"/>
    <x v="1"/>
  </r>
  <r>
    <n v="22518"/>
    <x v="1"/>
    <x v="0"/>
    <n v="30000"/>
    <n v="3"/>
    <x v="1"/>
    <s v="Clerical"/>
    <s v="No"/>
    <x v="2"/>
    <x v="0"/>
    <s v="Europe"/>
    <n v="27"/>
    <x v="2"/>
    <x v="1"/>
  </r>
  <r>
    <n v="13687"/>
    <x v="0"/>
    <x v="1"/>
    <n v="40000"/>
    <n v="1"/>
    <x v="0"/>
    <s v="Skilled Manual"/>
    <s v="Yes"/>
    <x v="1"/>
    <x v="0"/>
    <s v="Europe"/>
    <n v="33"/>
    <x v="0"/>
    <x v="1"/>
  </r>
  <r>
    <n v="23571"/>
    <x v="0"/>
    <x v="0"/>
    <n v="40000"/>
    <n v="2"/>
    <x v="0"/>
    <s v="Management"/>
    <s v="Yes"/>
    <x v="2"/>
    <x v="0"/>
    <s v="Pacific"/>
    <n v="66"/>
    <x v="1"/>
    <x v="1"/>
  </r>
  <r>
    <n v="19305"/>
    <x v="1"/>
    <x v="0"/>
    <n v="10000"/>
    <n v="2"/>
    <x v="2"/>
    <s v="Manual"/>
    <s v="Yes"/>
    <x v="1"/>
    <x v="0"/>
    <s v="Europe"/>
    <n v="38"/>
    <x v="0"/>
    <x v="1"/>
  </r>
  <r>
    <n v="22636"/>
    <x v="1"/>
    <x v="0"/>
    <n v="40000"/>
    <n v="0"/>
    <x v="0"/>
    <s v="Clerical"/>
    <s v="No"/>
    <x v="0"/>
    <x v="0"/>
    <s v="Europe"/>
    <n v="38"/>
    <x v="0"/>
    <x v="1"/>
  </r>
  <r>
    <n v="17310"/>
    <x v="0"/>
    <x v="1"/>
    <n v="60000"/>
    <n v="1"/>
    <x v="1"/>
    <s v="Skilled Manual"/>
    <s v="Yes"/>
    <x v="1"/>
    <x v="0"/>
    <s v="Pacific"/>
    <n v="45"/>
    <x v="0"/>
    <x v="1"/>
  </r>
  <r>
    <n v="12133"/>
    <x v="0"/>
    <x v="0"/>
    <n v="130000"/>
    <n v="3"/>
    <x v="1"/>
    <s v="Professional"/>
    <s v="Yes"/>
    <x v="4"/>
    <x v="2"/>
    <s v="Europe"/>
    <n v="50"/>
    <x v="1"/>
    <x v="1"/>
  </r>
  <r>
    <n v="25918"/>
    <x v="1"/>
    <x v="0"/>
    <n v="30000"/>
    <n v="2"/>
    <x v="1"/>
    <s v="Clerical"/>
    <s v="No"/>
    <x v="2"/>
    <x v="2"/>
    <s v="Pacific"/>
    <n v="60"/>
    <x v="1"/>
    <x v="1"/>
  </r>
  <r>
    <n v="25752"/>
    <x v="1"/>
    <x v="0"/>
    <n v="20000"/>
    <n v="2"/>
    <x v="1"/>
    <s v="Manual"/>
    <s v="No"/>
    <x v="1"/>
    <x v="0"/>
    <s v="Europe"/>
    <n v="53"/>
    <x v="1"/>
    <x v="1"/>
  </r>
  <r>
    <n v="17324"/>
    <x v="0"/>
    <x v="0"/>
    <n v="100000"/>
    <n v="4"/>
    <x v="0"/>
    <s v="Professional"/>
    <s v="Yes"/>
    <x v="1"/>
    <x v="4"/>
    <s v="Pacific"/>
    <n v="46"/>
    <x v="0"/>
    <x v="0"/>
  </r>
  <r>
    <n v="22918"/>
    <x v="1"/>
    <x v="1"/>
    <n v="80000"/>
    <n v="5"/>
    <x v="4"/>
    <s v="Management"/>
    <s v="Yes"/>
    <x v="4"/>
    <x v="0"/>
    <s v="Pacific"/>
    <n v="50"/>
    <x v="1"/>
    <x v="0"/>
  </r>
  <r>
    <n v="12510"/>
    <x v="0"/>
    <x v="1"/>
    <n v="40000"/>
    <n v="1"/>
    <x v="0"/>
    <s v="Skilled Manual"/>
    <s v="Yes"/>
    <x v="1"/>
    <x v="0"/>
    <s v="Europe"/>
    <n v="43"/>
    <x v="0"/>
    <x v="1"/>
  </r>
  <r>
    <n v="25512"/>
    <x v="1"/>
    <x v="1"/>
    <n v="20000"/>
    <n v="0"/>
    <x v="2"/>
    <s v="Manual"/>
    <s v="No"/>
    <x v="1"/>
    <x v="1"/>
    <s v="Europe"/>
    <n v="30"/>
    <x v="0"/>
    <x v="0"/>
  </r>
  <r>
    <n v="16179"/>
    <x v="1"/>
    <x v="0"/>
    <n v="80000"/>
    <n v="5"/>
    <x v="0"/>
    <s v="Professional"/>
    <s v="Yes"/>
    <x v="3"/>
    <x v="3"/>
    <s v="Pacific"/>
    <n v="38"/>
    <x v="0"/>
    <x v="0"/>
  </r>
  <r>
    <n v="15628"/>
    <x v="0"/>
    <x v="0"/>
    <n v="40000"/>
    <n v="1"/>
    <x v="0"/>
    <s v="Skilled Manual"/>
    <s v="Yes"/>
    <x v="1"/>
    <x v="0"/>
    <s v="Europe"/>
    <n v="89"/>
    <x v="1"/>
    <x v="0"/>
  </r>
  <r>
    <n v="20977"/>
    <x v="0"/>
    <x v="1"/>
    <n v="20000"/>
    <n v="1"/>
    <x v="0"/>
    <s v="Clerical"/>
    <s v="Yes"/>
    <x v="0"/>
    <x v="0"/>
    <s v="Europe"/>
    <n v="64"/>
    <x v="1"/>
    <x v="1"/>
  </r>
  <r>
    <n v="18140"/>
    <x v="0"/>
    <x v="1"/>
    <n v="130000"/>
    <n v="3"/>
    <x v="1"/>
    <s v="Professional"/>
    <s v="No"/>
    <x v="4"/>
    <x v="2"/>
    <s v="Europe"/>
    <n v="51"/>
    <x v="1"/>
    <x v="1"/>
  </r>
  <r>
    <n v="20417"/>
    <x v="0"/>
    <x v="1"/>
    <n v="30000"/>
    <n v="3"/>
    <x v="1"/>
    <s v="Clerical"/>
    <s v="No"/>
    <x v="2"/>
    <x v="2"/>
    <s v="Pacific"/>
    <n v="56"/>
    <x v="1"/>
    <x v="0"/>
  </r>
  <r>
    <n v="18267"/>
    <x v="0"/>
    <x v="1"/>
    <n v="60000"/>
    <n v="3"/>
    <x v="0"/>
    <s v="Professional"/>
    <s v="Yes"/>
    <x v="2"/>
    <x v="2"/>
    <s v="Pacific"/>
    <n v="43"/>
    <x v="0"/>
    <x v="0"/>
  </r>
  <r>
    <n v="13620"/>
    <x v="1"/>
    <x v="1"/>
    <n v="70000"/>
    <n v="0"/>
    <x v="0"/>
    <s v="Professional"/>
    <s v="No"/>
    <x v="4"/>
    <x v="4"/>
    <s v="Pacific"/>
    <n v="30"/>
    <x v="0"/>
    <x v="1"/>
  </r>
  <r>
    <n v="22974"/>
    <x v="0"/>
    <x v="0"/>
    <n v="30000"/>
    <n v="2"/>
    <x v="1"/>
    <s v="Clerical"/>
    <s v="Yes"/>
    <x v="2"/>
    <x v="2"/>
    <s v="Pacific"/>
    <n v="69"/>
    <x v="1"/>
    <x v="0"/>
  </r>
  <r>
    <n v="13586"/>
    <x v="0"/>
    <x v="1"/>
    <n v="80000"/>
    <n v="4"/>
    <x v="1"/>
    <s v="Professional"/>
    <s v="Yes"/>
    <x v="2"/>
    <x v="4"/>
    <s v="Europe"/>
    <n v="53"/>
    <x v="1"/>
    <x v="0"/>
  </r>
  <r>
    <n v="17978"/>
    <x v="0"/>
    <x v="1"/>
    <n v="40000"/>
    <n v="0"/>
    <x v="4"/>
    <s v="Clerical"/>
    <s v="Yes"/>
    <x v="0"/>
    <x v="0"/>
    <s v="Europe"/>
    <n v="37"/>
    <x v="0"/>
    <x v="1"/>
  </r>
  <r>
    <n v="12581"/>
    <x v="1"/>
    <x v="0"/>
    <n v="10000"/>
    <n v="0"/>
    <x v="1"/>
    <s v="Manual"/>
    <s v="No"/>
    <x v="1"/>
    <x v="0"/>
    <s v="Pacific"/>
    <n v="28"/>
    <x v="2"/>
    <x v="1"/>
  </r>
  <r>
    <n v="18018"/>
    <x v="1"/>
    <x v="1"/>
    <n v="30000"/>
    <n v="3"/>
    <x v="1"/>
    <s v="Clerical"/>
    <s v="Yes"/>
    <x v="0"/>
    <x v="0"/>
    <s v="Europe"/>
    <n v="43"/>
    <x v="0"/>
    <x v="0"/>
  </r>
  <r>
    <n v="28957"/>
    <x v="1"/>
    <x v="0"/>
    <n v="120000"/>
    <n v="0"/>
    <x v="3"/>
    <s v="Professional"/>
    <s v="Yes"/>
    <x v="3"/>
    <x v="4"/>
    <s v="Pacific"/>
    <n v="34"/>
    <x v="0"/>
    <x v="1"/>
  </r>
  <r>
    <n v="13690"/>
    <x v="1"/>
    <x v="0"/>
    <n v="20000"/>
    <n v="0"/>
    <x v="3"/>
    <s v="Manual"/>
    <s v="No"/>
    <x v="2"/>
    <x v="3"/>
    <s v="Europe"/>
    <n v="34"/>
    <x v="0"/>
    <x v="1"/>
  </r>
  <r>
    <n v="12568"/>
    <x v="0"/>
    <x v="0"/>
    <n v="30000"/>
    <n v="1"/>
    <x v="0"/>
    <s v="Clerical"/>
    <s v="Yes"/>
    <x v="0"/>
    <x v="0"/>
    <s v="Europe"/>
    <n v="64"/>
    <x v="1"/>
    <x v="0"/>
  </r>
  <r>
    <n v="13122"/>
    <x v="0"/>
    <x v="0"/>
    <n v="80000"/>
    <n v="0"/>
    <x v="0"/>
    <s v="Professional"/>
    <s v="Yes"/>
    <x v="1"/>
    <x v="3"/>
    <s v="Pacific"/>
    <n v="41"/>
    <x v="0"/>
    <x v="1"/>
  </r>
  <r>
    <n v="21184"/>
    <x v="1"/>
    <x v="1"/>
    <n v="70000"/>
    <n v="0"/>
    <x v="0"/>
    <s v="Professional"/>
    <s v="No"/>
    <x v="1"/>
    <x v="2"/>
    <s v="Pacific"/>
    <n v="38"/>
    <x v="0"/>
    <x v="0"/>
  </r>
  <r>
    <n v="26150"/>
    <x v="1"/>
    <x v="0"/>
    <n v="70000"/>
    <n v="0"/>
    <x v="0"/>
    <s v="Professional"/>
    <s v="No"/>
    <x v="1"/>
    <x v="0"/>
    <s v="Pacific"/>
    <n v="41"/>
    <x v="0"/>
    <x v="1"/>
  </r>
  <r>
    <n v="24151"/>
    <x v="1"/>
    <x v="1"/>
    <n v="20000"/>
    <n v="1"/>
    <x v="0"/>
    <s v="Clerical"/>
    <s v="No"/>
    <x v="0"/>
    <x v="0"/>
    <s v="Europe"/>
    <n v="51"/>
    <x v="1"/>
    <x v="0"/>
  </r>
  <r>
    <n v="23962"/>
    <x v="0"/>
    <x v="0"/>
    <n v="10000"/>
    <n v="0"/>
    <x v="3"/>
    <s v="Manual"/>
    <s v="Yes"/>
    <x v="2"/>
    <x v="3"/>
    <s v="Europe"/>
    <n v="32"/>
    <x v="0"/>
    <x v="0"/>
  </r>
  <r>
    <n v="17793"/>
    <x v="0"/>
    <x v="0"/>
    <n v="40000"/>
    <n v="0"/>
    <x v="0"/>
    <s v="Clerical"/>
    <s v="Yes"/>
    <x v="0"/>
    <x v="0"/>
    <s v="Europe"/>
    <n v="38"/>
    <x v="0"/>
    <x v="1"/>
  </r>
  <r>
    <n v="14926"/>
    <x v="0"/>
    <x v="1"/>
    <n v="30000"/>
    <n v="1"/>
    <x v="0"/>
    <s v="Clerical"/>
    <s v="Yes"/>
    <x v="0"/>
    <x v="0"/>
    <s v="Europe"/>
    <n v="38"/>
    <x v="0"/>
    <x v="1"/>
  </r>
  <r>
    <n v="16163"/>
    <x v="1"/>
    <x v="1"/>
    <n v="60000"/>
    <n v="2"/>
    <x v="0"/>
    <s v="Professional"/>
    <s v="Yes"/>
    <x v="1"/>
    <x v="1"/>
    <s v="Pacific"/>
    <n v="38"/>
    <x v="0"/>
    <x v="1"/>
  </r>
  <r>
    <n v="21365"/>
    <x v="0"/>
    <x v="0"/>
    <n v="10000"/>
    <n v="2"/>
    <x v="3"/>
    <s v="Clerical"/>
    <s v="Yes"/>
    <x v="2"/>
    <x v="2"/>
    <s v="Pacific"/>
    <n v="58"/>
    <x v="1"/>
    <x v="0"/>
  </r>
  <r>
    <n v="27771"/>
    <x v="1"/>
    <x v="1"/>
    <n v="30000"/>
    <n v="1"/>
    <x v="0"/>
    <s v="Clerical"/>
    <s v="Yes"/>
    <x v="1"/>
    <x v="3"/>
    <s v="Europe"/>
    <n v="39"/>
    <x v="0"/>
    <x v="1"/>
  </r>
  <r>
    <n v="26167"/>
    <x v="1"/>
    <x v="0"/>
    <n v="40000"/>
    <n v="2"/>
    <x v="0"/>
    <s v="Management"/>
    <s v="No"/>
    <x v="1"/>
    <x v="2"/>
    <s v="Pacific"/>
    <n v="53"/>
    <x v="1"/>
    <x v="1"/>
  </r>
  <r>
    <n v="25792"/>
    <x v="1"/>
    <x v="0"/>
    <n v="110000"/>
    <n v="3"/>
    <x v="0"/>
    <s v="Management"/>
    <s v="Yes"/>
    <x v="3"/>
    <x v="4"/>
    <s v="Europe"/>
    <n v="53"/>
    <x v="1"/>
    <x v="0"/>
  </r>
  <r>
    <n v="11555"/>
    <x v="0"/>
    <x v="0"/>
    <n v="40000"/>
    <n v="1"/>
    <x v="0"/>
    <s v="Clerical"/>
    <s v="Yes"/>
    <x v="0"/>
    <x v="0"/>
    <s v="Europe"/>
    <n v="80"/>
    <x v="1"/>
    <x v="0"/>
  </r>
  <r>
    <n v="22381"/>
    <x v="0"/>
    <x v="1"/>
    <n v="10000"/>
    <n v="1"/>
    <x v="4"/>
    <s v="Manual"/>
    <s v="Yes"/>
    <x v="0"/>
    <x v="0"/>
    <s v="Europe"/>
    <n v="44"/>
    <x v="0"/>
    <x v="0"/>
  </r>
  <r>
    <n v="17882"/>
    <x v="0"/>
    <x v="1"/>
    <n v="20000"/>
    <n v="1"/>
    <x v="4"/>
    <s v="Clerical"/>
    <s v="Yes"/>
    <x v="0"/>
    <x v="0"/>
    <s v="Europe"/>
    <n v="44"/>
    <x v="0"/>
    <x v="0"/>
  </r>
  <r>
    <n v="22174"/>
    <x v="0"/>
    <x v="1"/>
    <n v="30000"/>
    <n v="3"/>
    <x v="2"/>
    <s v="Skilled Manual"/>
    <s v="Yes"/>
    <x v="2"/>
    <x v="2"/>
    <s v="Pacific"/>
    <n v="54"/>
    <x v="1"/>
    <x v="1"/>
  </r>
  <r>
    <n v="22439"/>
    <x v="0"/>
    <x v="0"/>
    <n v="30000"/>
    <n v="0"/>
    <x v="0"/>
    <s v="Clerical"/>
    <s v="Yes"/>
    <x v="0"/>
    <x v="0"/>
    <s v="Europe"/>
    <n v="37"/>
    <x v="0"/>
    <x v="1"/>
  </r>
  <r>
    <n v="18012"/>
    <x v="0"/>
    <x v="0"/>
    <n v="40000"/>
    <n v="1"/>
    <x v="0"/>
    <s v="Skilled Manual"/>
    <s v="Yes"/>
    <x v="0"/>
    <x v="0"/>
    <s v="Europe"/>
    <n v="41"/>
    <x v="0"/>
    <x v="0"/>
  </r>
  <r>
    <n v="27582"/>
    <x v="1"/>
    <x v="0"/>
    <n v="90000"/>
    <n v="2"/>
    <x v="0"/>
    <s v="Professional"/>
    <s v="No"/>
    <x v="0"/>
    <x v="0"/>
    <s v="Pacific"/>
    <n v="36"/>
    <x v="0"/>
    <x v="1"/>
  </r>
  <r>
    <n v="12744"/>
    <x v="1"/>
    <x v="0"/>
    <n v="40000"/>
    <n v="2"/>
    <x v="1"/>
    <s v="Clerical"/>
    <s v="Yes"/>
    <x v="0"/>
    <x v="0"/>
    <s v="Europe"/>
    <n v="33"/>
    <x v="0"/>
    <x v="0"/>
  </r>
  <r>
    <n v="22821"/>
    <x v="0"/>
    <x v="0"/>
    <n v="130000"/>
    <n v="3"/>
    <x v="1"/>
    <s v="Professional"/>
    <s v="Yes"/>
    <x v="3"/>
    <x v="0"/>
    <s v="Europe"/>
    <n v="52"/>
    <x v="1"/>
    <x v="0"/>
  </r>
  <r>
    <n v="20171"/>
    <x v="0"/>
    <x v="0"/>
    <n v="20000"/>
    <n v="2"/>
    <x v="1"/>
    <s v="Manual"/>
    <s v="Yes"/>
    <x v="1"/>
    <x v="0"/>
    <s v="Europe"/>
    <n v="46"/>
    <x v="0"/>
    <x v="1"/>
  </r>
  <r>
    <n v="11116"/>
    <x v="0"/>
    <x v="1"/>
    <n v="70000"/>
    <n v="5"/>
    <x v="1"/>
    <s v="Skilled Manual"/>
    <s v="Yes"/>
    <x v="2"/>
    <x v="2"/>
    <s v="Pacific"/>
    <n v="43"/>
    <x v="0"/>
    <x v="0"/>
  </r>
  <r>
    <n v="20053"/>
    <x v="1"/>
    <x v="1"/>
    <n v="40000"/>
    <n v="2"/>
    <x v="1"/>
    <s v="Clerical"/>
    <s v="Yes"/>
    <x v="0"/>
    <x v="0"/>
    <s v="Europe"/>
    <n v="34"/>
    <x v="0"/>
    <x v="0"/>
  </r>
  <r>
    <n v="25266"/>
    <x v="1"/>
    <x v="0"/>
    <n v="30000"/>
    <n v="2"/>
    <x v="1"/>
    <s v="Clerical"/>
    <s v="No"/>
    <x v="2"/>
    <x v="2"/>
    <s v="Pacific"/>
    <n v="67"/>
    <x v="1"/>
    <x v="0"/>
  </r>
  <r>
    <n v="17960"/>
    <x v="0"/>
    <x v="0"/>
    <n v="40000"/>
    <n v="0"/>
    <x v="4"/>
    <s v="Clerical"/>
    <s v="Yes"/>
    <x v="0"/>
    <x v="0"/>
    <s v="Europe"/>
    <n v="35"/>
    <x v="0"/>
    <x v="1"/>
  </r>
  <r>
    <n v="13961"/>
    <x v="0"/>
    <x v="0"/>
    <n v="80000"/>
    <n v="5"/>
    <x v="4"/>
    <s v="Management"/>
    <s v="Yes"/>
    <x v="4"/>
    <x v="0"/>
    <s v="Pacific"/>
    <n v="40"/>
    <x v="0"/>
    <x v="0"/>
  </r>
  <r>
    <n v="11897"/>
    <x v="1"/>
    <x v="1"/>
    <n v="60000"/>
    <n v="2"/>
    <x v="0"/>
    <s v="Professional"/>
    <s v="No"/>
    <x v="1"/>
    <x v="0"/>
    <s v="Pacific"/>
    <n v="37"/>
    <x v="0"/>
    <x v="1"/>
  </r>
  <r>
    <n v="11139"/>
    <x v="1"/>
    <x v="0"/>
    <n v="30000"/>
    <n v="2"/>
    <x v="1"/>
    <s v="Clerical"/>
    <s v="No"/>
    <x v="2"/>
    <x v="2"/>
    <s v="Pacific"/>
    <n v="67"/>
    <x v="1"/>
    <x v="0"/>
  </r>
  <r>
    <n v="11576"/>
    <x v="0"/>
    <x v="1"/>
    <n v="30000"/>
    <n v="1"/>
    <x v="0"/>
    <s v="Skilled Manual"/>
    <s v="Yes"/>
    <x v="2"/>
    <x v="0"/>
    <s v="Europe"/>
    <n v="41"/>
    <x v="0"/>
    <x v="1"/>
  </r>
  <r>
    <n v="19255"/>
    <x v="1"/>
    <x v="1"/>
    <n v="10000"/>
    <n v="2"/>
    <x v="1"/>
    <s v="Manual"/>
    <s v="Yes"/>
    <x v="1"/>
    <x v="0"/>
    <s v="Europe"/>
    <n v="51"/>
    <x v="1"/>
    <x v="1"/>
  </r>
  <r>
    <n v="18153"/>
    <x v="0"/>
    <x v="0"/>
    <n v="100000"/>
    <n v="2"/>
    <x v="0"/>
    <s v="Management"/>
    <s v="Yes"/>
    <x v="3"/>
    <x v="4"/>
    <s v="Europe"/>
    <n v="59"/>
    <x v="1"/>
    <x v="0"/>
  </r>
  <r>
    <n v="14547"/>
    <x v="0"/>
    <x v="1"/>
    <n v="10000"/>
    <n v="2"/>
    <x v="1"/>
    <s v="Manual"/>
    <s v="Yes"/>
    <x v="0"/>
    <x v="3"/>
    <s v="Europe"/>
    <n v="51"/>
    <x v="1"/>
    <x v="0"/>
  </r>
  <r>
    <n v="24901"/>
    <x v="1"/>
    <x v="1"/>
    <n v="110000"/>
    <n v="0"/>
    <x v="1"/>
    <s v="Management"/>
    <s v="No"/>
    <x v="4"/>
    <x v="4"/>
    <s v="Pacific"/>
    <n v="32"/>
    <x v="0"/>
    <x v="1"/>
  </r>
  <r>
    <n v="27169"/>
    <x v="1"/>
    <x v="1"/>
    <n v="30000"/>
    <n v="0"/>
    <x v="2"/>
    <s v="Manual"/>
    <s v="Yes"/>
    <x v="1"/>
    <x v="1"/>
    <s v="Europe"/>
    <n v="34"/>
    <x v="0"/>
    <x v="1"/>
  </r>
  <r>
    <n v="14805"/>
    <x v="1"/>
    <x v="0"/>
    <n v="10000"/>
    <n v="3"/>
    <x v="3"/>
    <s v="Manual"/>
    <s v="Yes"/>
    <x v="2"/>
    <x v="0"/>
    <s v="Europe"/>
    <n v="43"/>
    <x v="0"/>
    <x v="0"/>
  </r>
  <r>
    <n v="15822"/>
    <x v="0"/>
    <x v="1"/>
    <n v="40000"/>
    <n v="2"/>
    <x v="0"/>
    <s v="Management"/>
    <s v="Yes"/>
    <x v="2"/>
    <x v="0"/>
    <s v="Pacific"/>
    <n v="67"/>
    <x v="1"/>
    <x v="0"/>
  </r>
  <r>
    <n v="19389"/>
    <x v="1"/>
    <x v="1"/>
    <n v="30000"/>
    <n v="0"/>
    <x v="1"/>
    <s v="Clerical"/>
    <s v="No"/>
    <x v="1"/>
    <x v="1"/>
    <s v="Europe"/>
    <n v="28"/>
    <x v="2"/>
    <x v="0"/>
  </r>
  <r>
    <n v="17048"/>
    <x v="1"/>
    <x v="0"/>
    <n v="90000"/>
    <n v="1"/>
    <x v="4"/>
    <s v="Management"/>
    <s v="Yes"/>
    <x v="0"/>
    <x v="0"/>
    <s v="Pacific"/>
    <n v="36"/>
    <x v="0"/>
    <x v="1"/>
  </r>
  <r>
    <n v="22204"/>
    <x v="0"/>
    <x v="1"/>
    <n v="110000"/>
    <n v="4"/>
    <x v="0"/>
    <s v="Management"/>
    <s v="Yes"/>
    <x v="4"/>
    <x v="1"/>
    <s v="Pacific"/>
    <n v="48"/>
    <x v="0"/>
    <x v="0"/>
  </r>
  <r>
    <n v="12718"/>
    <x v="1"/>
    <x v="0"/>
    <n v="30000"/>
    <n v="0"/>
    <x v="1"/>
    <s v="Clerical"/>
    <s v="Yes"/>
    <x v="1"/>
    <x v="1"/>
    <s v="Europe"/>
    <n v="31"/>
    <x v="0"/>
    <x v="0"/>
  </r>
  <r>
    <n v="15019"/>
    <x v="1"/>
    <x v="0"/>
    <n v="30000"/>
    <n v="3"/>
    <x v="2"/>
    <s v="Skilled Manual"/>
    <s v="Yes"/>
    <x v="2"/>
    <x v="2"/>
    <s v="Pacific"/>
    <n v="55"/>
    <x v="1"/>
    <x v="0"/>
  </r>
  <r>
    <n v="28488"/>
    <x v="1"/>
    <x v="1"/>
    <n v="20000"/>
    <n v="0"/>
    <x v="1"/>
    <s v="Manual"/>
    <s v="Yes"/>
    <x v="0"/>
    <x v="0"/>
    <s v="Pacific"/>
    <n v="28"/>
    <x v="2"/>
    <x v="1"/>
  </r>
  <r>
    <n v="21891"/>
    <x v="0"/>
    <x v="0"/>
    <n v="110000"/>
    <n v="0"/>
    <x v="2"/>
    <s v="Management"/>
    <s v="Yes"/>
    <x v="4"/>
    <x v="4"/>
    <s v="Pacific"/>
    <n v="34"/>
    <x v="0"/>
    <x v="1"/>
  </r>
  <r>
    <n v="27814"/>
    <x v="1"/>
    <x v="0"/>
    <n v="30000"/>
    <n v="3"/>
    <x v="1"/>
    <s v="Clerical"/>
    <s v="No"/>
    <x v="1"/>
    <x v="0"/>
    <s v="Europe"/>
    <n v="26"/>
    <x v="2"/>
    <x v="0"/>
  </r>
  <r>
    <n v="22175"/>
    <x v="0"/>
    <x v="0"/>
    <n v="30000"/>
    <n v="3"/>
    <x v="2"/>
    <s v="Skilled Manual"/>
    <s v="Yes"/>
    <x v="2"/>
    <x v="2"/>
    <s v="Pacific"/>
    <n v="53"/>
    <x v="1"/>
    <x v="1"/>
  </r>
  <r>
    <n v="29447"/>
    <x v="1"/>
    <x v="0"/>
    <n v="10000"/>
    <n v="2"/>
    <x v="0"/>
    <s v="Clerical"/>
    <s v="No"/>
    <x v="1"/>
    <x v="1"/>
    <s v="Europe"/>
    <n v="68"/>
    <x v="1"/>
    <x v="0"/>
  </r>
  <r>
    <n v="19784"/>
    <x v="0"/>
    <x v="0"/>
    <n v="80000"/>
    <n v="2"/>
    <x v="2"/>
    <s v="Skilled Manual"/>
    <s v="Yes"/>
    <x v="2"/>
    <x v="2"/>
    <s v="Pacific"/>
    <n v="50"/>
    <x v="1"/>
    <x v="1"/>
  </r>
  <r>
    <n v="27824"/>
    <x v="1"/>
    <x v="0"/>
    <n v="30000"/>
    <n v="3"/>
    <x v="1"/>
    <s v="Clerical"/>
    <s v="Yes"/>
    <x v="2"/>
    <x v="0"/>
    <s v="Europe"/>
    <n v="28"/>
    <x v="2"/>
    <x v="1"/>
  </r>
  <r>
    <n v="24093"/>
    <x v="1"/>
    <x v="0"/>
    <n v="80000"/>
    <n v="0"/>
    <x v="4"/>
    <s v="Skilled Manual"/>
    <s v="No"/>
    <x v="0"/>
    <x v="0"/>
    <s v="Europe"/>
    <n v="40"/>
    <x v="0"/>
    <x v="1"/>
  </r>
  <r>
    <n v="19618"/>
    <x v="0"/>
    <x v="1"/>
    <n v="70000"/>
    <n v="5"/>
    <x v="1"/>
    <s v="Skilled Manual"/>
    <s v="Yes"/>
    <x v="2"/>
    <x v="0"/>
    <s v="Pacific"/>
    <n v="44"/>
    <x v="0"/>
    <x v="0"/>
  </r>
  <r>
    <n v="21561"/>
    <x v="1"/>
    <x v="1"/>
    <n v="90000"/>
    <n v="0"/>
    <x v="0"/>
    <s v="Professional"/>
    <s v="No"/>
    <x v="4"/>
    <x v="4"/>
    <s v="Pacific"/>
    <n v="34"/>
    <x v="0"/>
    <x v="1"/>
  </r>
  <r>
    <n v="11061"/>
    <x v="0"/>
    <x v="1"/>
    <n v="70000"/>
    <n v="2"/>
    <x v="1"/>
    <s v="Skilled Manual"/>
    <s v="Yes"/>
    <x v="2"/>
    <x v="2"/>
    <s v="Pacific"/>
    <n v="52"/>
    <x v="1"/>
    <x v="1"/>
  </r>
  <r>
    <n v="26651"/>
    <x v="1"/>
    <x v="1"/>
    <n v="80000"/>
    <n v="4"/>
    <x v="4"/>
    <s v="Management"/>
    <s v="Yes"/>
    <x v="0"/>
    <x v="0"/>
    <s v="Pacific"/>
    <n v="36"/>
    <x v="0"/>
    <x v="1"/>
  </r>
  <r>
    <n v="21108"/>
    <x v="0"/>
    <x v="0"/>
    <n v="40000"/>
    <n v="1"/>
    <x v="0"/>
    <s v="Skilled Manual"/>
    <s v="Yes"/>
    <x v="1"/>
    <x v="0"/>
    <s v="Europe"/>
    <n v="43"/>
    <x v="0"/>
    <x v="1"/>
  </r>
  <r>
    <n v="12731"/>
    <x v="1"/>
    <x v="1"/>
    <n v="30000"/>
    <n v="0"/>
    <x v="2"/>
    <s v="Manual"/>
    <s v="No"/>
    <x v="1"/>
    <x v="3"/>
    <s v="Europe"/>
    <n v="32"/>
    <x v="0"/>
    <x v="0"/>
  </r>
  <r>
    <n v="25307"/>
    <x v="0"/>
    <x v="0"/>
    <n v="40000"/>
    <n v="1"/>
    <x v="0"/>
    <s v="Skilled Manual"/>
    <s v="Yes"/>
    <x v="1"/>
    <x v="3"/>
    <s v="Europe"/>
    <n v="32"/>
    <x v="0"/>
    <x v="1"/>
  </r>
  <r>
    <n v="14278"/>
    <x v="0"/>
    <x v="0"/>
    <n v="130000"/>
    <n v="0"/>
    <x v="4"/>
    <s v="Management"/>
    <s v="Yes"/>
    <x v="1"/>
    <x v="4"/>
    <s v="Pacific"/>
    <n v="48"/>
    <x v="0"/>
    <x v="0"/>
  </r>
  <r>
    <n v="20711"/>
    <x v="0"/>
    <x v="0"/>
    <n v="40000"/>
    <n v="1"/>
    <x v="0"/>
    <s v="Skilled Manual"/>
    <s v="Yes"/>
    <x v="0"/>
    <x v="3"/>
    <s v="Europe"/>
    <n v="32"/>
    <x v="0"/>
    <x v="1"/>
  </r>
  <r>
    <n v="11383"/>
    <x v="0"/>
    <x v="0"/>
    <n v="30000"/>
    <n v="3"/>
    <x v="4"/>
    <s v="Clerical"/>
    <s v="Yes"/>
    <x v="0"/>
    <x v="0"/>
    <s v="Europe"/>
    <n v="46"/>
    <x v="0"/>
    <x v="0"/>
  </r>
  <r>
    <n v="12497"/>
    <x v="0"/>
    <x v="0"/>
    <n v="40000"/>
    <n v="1"/>
    <x v="0"/>
    <s v="Skilled Manual"/>
    <s v="Yes"/>
    <x v="0"/>
    <x v="0"/>
    <s v="Europe"/>
    <n v="42"/>
    <x v="0"/>
    <x v="0"/>
  </r>
  <r>
    <n v="16559"/>
    <x v="1"/>
    <x v="0"/>
    <n v="10000"/>
    <n v="2"/>
    <x v="2"/>
    <s v="Manual"/>
    <s v="Yes"/>
    <x v="0"/>
    <x v="0"/>
    <s v="Europe"/>
    <n v="36"/>
    <x v="0"/>
    <x v="1"/>
  </r>
  <r>
    <n v="11585"/>
    <x v="0"/>
    <x v="0"/>
    <n v="40000"/>
    <n v="1"/>
    <x v="0"/>
    <s v="Skilled Manual"/>
    <s v="Yes"/>
    <x v="0"/>
    <x v="0"/>
    <s v="Europe"/>
    <n v="41"/>
    <x v="0"/>
    <x v="0"/>
  </r>
  <r>
    <n v="20277"/>
    <x v="0"/>
    <x v="0"/>
    <n v="30000"/>
    <n v="2"/>
    <x v="1"/>
    <s v="Clerical"/>
    <s v="No"/>
    <x v="2"/>
    <x v="0"/>
    <s v="Pacific"/>
    <n v="69"/>
    <x v="1"/>
    <x v="0"/>
  </r>
  <r>
    <n v="26765"/>
    <x v="1"/>
    <x v="0"/>
    <n v="70000"/>
    <n v="5"/>
    <x v="1"/>
    <s v="Skilled Manual"/>
    <s v="Yes"/>
    <x v="2"/>
    <x v="2"/>
    <s v="Pacific"/>
    <n v="45"/>
    <x v="0"/>
    <x v="0"/>
  </r>
  <r>
    <n v="12389"/>
    <x v="1"/>
    <x v="1"/>
    <n v="30000"/>
    <n v="0"/>
    <x v="2"/>
    <s v="Manual"/>
    <s v="No"/>
    <x v="1"/>
    <x v="1"/>
    <s v="Europe"/>
    <n v="34"/>
    <x v="0"/>
    <x v="0"/>
  </r>
  <r>
    <n v="13585"/>
    <x v="0"/>
    <x v="0"/>
    <n v="80000"/>
    <n v="4"/>
    <x v="1"/>
    <s v="Professional"/>
    <s v="No"/>
    <x v="1"/>
    <x v="1"/>
    <s v="Europe"/>
    <n v="53"/>
    <x v="1"/>
    <x v="1"/>
  </r>
  <r>
    <n v="26385"/>
    <x v="1"/>
    <x v="1"/>
    <n v="120000"/>
    <n v="3"/>
    <x v="2"/>
    <s v="Professional"/>
    <s v="No"/>
    <x v="3"/>
    <x v="2"/>
    <s v="Europe"/>
    <n v="50"/>
    <x v="1"/>
    <x v="0"/>
  </r>
  <r>
    <n v="12236"/>
    <x v="0"/>
    <x v="0"/>
    <n v="20000"/>
    <n v="1"/>
    <x v="1"/>
    <s v="Manual"/>
    <s v="Yes"/>
    <x v="0"/>
    <x v="0"/>
    <s v="Europe"/>
    <n v="65"/>
    <x v="1"/>
    <x v="0"/>
  </r>
  <r>
    <n v="21560"/>
    <x v="0"/>
    <x v="1"/>
    <n v="120000"/>
    <n v="0"/>
    <x v="3"/>
    <s v="Professional"/>
    <s v="Yes"/>
    <x v="3"/>
    <x v="4"/>
    <s v="Pacific"/>
    <n v="32"/>
    <x v="0"/>
    <x v="1"/>
  </r>
  <r>
    <n v="21554"/>
    <x v="1"/>
    <x v="0"/>
    <n v="80000"/>
    <n v="0"/>
    <x v="0"/>
    <s v="Professional"/>
    <s v="No"/>
    <x v="4"/>
    <x v="4"/>
    <s v="Pacific"/>
    <n v="33"/>
    <x v="0"/>
    <x v="0"/>
  </r>
  <r>
    <n v="13662"/>
    <x v="1"/>
    <x v="1"/>
    <n v="20000"/>
    <n v="0"/>
    <x v="3"/>
    <s v="Manual"/>
    <s v="Yes"/>
    <x v="2"/>
    <x v="3"/>
    <s v="Europe"/>
    <n v="31"/>
    <x v="0"/>
    <x v="1"/>
  </r>
  <r>
    <n v="13089"/>
    <x v="0"/>
    <x v="0"/>
    <n v="120000"/>
    <n v="1"/>
    <x v="0"/>
    <s v="Management"/>
    <s v="Yes"/>
    <x v="2"/>
    <x v="0"/>
    <s v="Pacific"/>
    <n v="46"/>
    <x v="0"/>
    <x v="1"/>
  </r>
  <r>
    <n v="14791"/>
    <x v="0"/>
    <x v="0"/>
    <n v="40000"/>
    <n v="0"/>
    <x v="0"/>
    <s v="Clerical"/>
    <s v="Yes"/>
    <x v="0"/>
    <x v="0"/>
    <s v="Europe"/>
    <n v="39"/>
    <x v="0"/>
    <x v="1"/>
  </r>
  <r>
    <n v="19331"/>
    <x v="1"/>
    <x v="1"/>
    <n v="20000"/>
    <n v="2"/>
    <x v="2"/>
    <s v="Manual"/>
    <s v="Yes"/>
    <x v="1"/>
    <x v="0"/>
    <s v="Europe"/>
    <n v="40"/>
    <x v="0"/>
    <x v="0"/>
  </r>
  <r>
    <n v="17754"/>
    <x v="1"/>
    <x v="0"/>
    <n v="30000"/>
    <n v="3"/>
    <x v="0"/>
    <s v="Clerical"/>
    <s v="Yes"/>
    <x v="0"/>
    <x v="0"/>
    <s v="Europe"/>
    <n v="46"/>
    <x v="0"/>
    <x v="1"/>
  </r>
  <r>
    <n v="11149"/>
    <x v="0"/>
    <x v="1"/>
    <n v="40000"/>
    <n v="2"/>
    <x v="0"/>
    <s v="Management"/>
    <s v="Yes"/>
    <x v="2"/>
    <x v="0"/>
    <s v="Pacific"/>
    <n v="65"/>
    <x v="1"/>
    <x v="0"/>
  </r>
  <r>
    <n v="16549"/>
    <x v="1"/>
    <x v="0"/>
    <n v="30000"/>
    <n v="3"/>
    <x v="0"/>
    <s v="Clerical"/>
    <s v="Yes"/>
    <x v="0"/>
    <x v="0"/>
    <s v="Europe"/>
    <n v="47"/>
    <x v="0"/>
    <x v="1"/>
  </r>
  <r>
    <n v="24305"/>
    <x v="1"/>
    <x v="1"/>
    <n v="100000"/>
    <n v="1"/>
    <x v="0"/>
    <s v="Management"/>
    <s v="No"/>
    <x v="4"/>
    <x v="0"/>
    <s v="Pacific"/>
    <n v="46"/>
    <x v="0"/>
    <x v="1"/>
  </r>
  <r>
    <n v="18253"/>
    <x v="0"/>
    <x v="0"/>
    <n v="80000"/>
    <n v="5"/>
    <x v="4"/>
    <s v="Management"/>
    <s v="Yes"/>
    <x v="4"/>
    <x v="0"/>
    <s v="Pacific"/>
    <n v="40"/>
    <x v="0"/>
    <x v="0"/>
  </r>
  <r>
    <n v="20147"/>
    <x v="0"/>
    <x v="0"/>
    <n v="30000"/>
    <n v="1"/>
    <x v="0"/>
    <s v="Clerical"/>
    <s v="Yes"/>
    <x v="0"/>
    <x v="0"/>
    <s v="Europe"/>
    <n v="65"/>
    <x v="1"/>
    <x v="0"/>
  </r>
  <r>
    <n v="15612"/>
    <x v="1"/>
    <x v="1"/>
    <n v="30000"/>
    <n v="0"/>
    <x v="2"/>
    <s v="Manual"/>
    <s v="No"/>
    <x v="1"/>
    <x v="3"/>
    <s v="Europe"/>
    <n v="28"/>
    <x v="2"/>
    <x v="0"/>
  </r>
  <r>
    <n v="28323"/>
    <x v="1"/>
    <x v="1"/>
    <n v="70000"/>
    <n v="0"/>
    <x v="0"/>
    <s v="Professional"/>
    <s v="No"/>
    <x v="2"/>
    <x v="2"/>
    <s v="Pacific"/>
    <n v="43"/>
    <x v="0"/>
    <x v="1"/>
  </r>
  <r>
    <n v="22634"/>
    <x v="1"/>
    <x v="0"/>
    <n v="40000"/>
    <n v="0"/>
    <x v="4"/>
    <s v="Clerical"/>
    <s v="Yes"/>
    <x v="0"/>
    <x v="0"/>
    <s v="Europe"/>
    <n v="38"/>
    <x v="0"/>
    <x v="1"/>
  </r>
  <r>
    <n v="15665"/>
    <x v="0"/>
    <x v="0"/>
    <n v="30000"/>
    <n v="0"/>
    <x v="0"/>
    <s v="Clerical"/>
    <s v="Yes"/>
    <x v="0"/>
    <x v="0"/>
    <s v="Europe"/>
    <n v="47"/>
    <x v="0"/>
    <x v="1"/>
  </r>
  <r>
    <n v="27585"/>
    <x v="0"/>
    <x v="0"/>
    <n v="90000"/>
    <n v="2"/>
    <x v="0"/>
    <s v="Professional"/>
    <s v="No"/>
    <x v="0"/>
    <x v="0"/>
    <s v="Pacific"/>
    <n v="36"/>
    <x v="0"/>
    <x v="1"/>
  </r>
  <r>
    <n v="19748"/>
    <x v="0"/>
    <x v="1"/>
    <n v="20000"/>
    <n v="4"/>
    <x v="2"/>
    <s v="Skilled Manual"/>
    <s v="No"/>
    <x v="2"/>
    <x v="3"/>
    <s v="Pacific"/>
    <n v="60"/>
    <x v="1"/>
    <x v="0"/>
  </r>
  <r>
    <n v="21974"/>
    <x v="1"/>
    <x v="0"/>
    <n v="70000"/>
    <n v="0"/>
    <x v="0"/>
    <s v="Professional"/>
    <s v="Yes"/>
    <x v="1"/>
    <x v="2"/>
    <s v="Pacific"/>
    <n v="42"/>
    <x v="0"/>
    <x v="1"/>
  </r>
  <r>
    <n v="14032"/>
    <x v="0"/>
    <x v="1"/>
    <n v="70000"/>
    <n v="2"/>
    <x v="2"/>
    <s v="Skilled Manual"/>
    <s v="No"/>
    <x v="2"/>
    <x v="3"/>
    <s v="Pacific"/>
    <n v="50"/>
    <x v="1"/>
    <x v="1"/>
  </r>
  <r>
    <n v="22610"/>
    <x v="0"/>
    <x v="1"/>
    <n v="30000"/>
    <n v="0"/>
    <x v="0"/>
    <s v="Clerical"/>
    <s v="Yes"/>
    <x v="0"/>
    <x v="0"/>
    <s v="Europe"/>
    <n v="35"/>
    <x v="0"/>
    <x v="1"/>
  </r>
  <r>
    <n v="26984"/>
    <x v="0"/>
    <x v="1"/>
    <n v="40000"/>
    <n v="1"/>
    <x v="0"/>
    <s v="Skilled Manual"/>
    <s v="Yes"/>
    <x v="1"/>
    <x v="0"/>
    <s v="Europe"/>
    <n v="32"/>
    <x v="0"/>
    <x v="1"/>
  </r>
  <r>
    <n v="18294"/>
    <x v="0"/>
    <x v="0"/>
    <n v="90000"/>
    <n v="1"/>
    <x v="0"/>
    <s v="Professional"/>
    <s v="Yes"/>
    <x v="1"/>
    <x v="2"/>
    <s v="Pacific"/>
    <n v="46"/>
    <x v="0"/>
    <x v="0"/>
  </r>
  <r>
    <n v="28564"/>
    <x v="1"/>
    <x v="0"/>
    <n v="40000"/>
    <n v="2"/>
    <x v="1"/>
    <s v="Clerical"/>
    <s v="Yes"/>
    <x v="0"/>
    <x v="3"/>
    <s v="Europe"/>
    <n v="33"/>
    <x v="0"/>
    <x v="1"/>
  </r>
  <r>
    <n v="28521"/>
    <x v="1"/>
    <x v="1"/>
    <n v="40000"/>
    <n v="0"/>
    <x v="4"/>
    <s v="Clerical"/>
    <s v="No"/>
    <x v="0"/>
    <x v="0"/>
    <s v="Europe"/>
    <n v="36"/>
    <x v="0"/>
    <x v="1"/>
  </r>
  <r>
    <n v="15450"/>
    <x v="0"/>
    <x v="1"/>
    <n v="10000"/>
    <n v="1"/>
    <x v="4"/>
    <s v="Clerical"/>
    <s v="Yes"/>
    <x v="0"/>
    <x v="0"/>
    <s v="Europe"/>
    <n v="70"/>
    <x v="1"/>
    <x v="0"/>
  </r>
  <r>
    <n v="25681"/>
    <x v="1"/>
    <x v="0"/>
    <n v="30000"/>
    <n v="0"/>
    <x v="1"/>
    <s v="Clerical"/>
    <s v="No"/>
    <x v="1"/>
    <x v="1"/>
    <s v="Europe"/>
    <n v="31"/>
    <x v="0"/>
    <x v="1"/>
  </r>
  <r>
    <n v="19491"/>
    <x v="1"/>
    <x v="1"/>
    <n v="30000"/>
    <n v="2"/>
    <x v="1"/>
    <s v="Clerical"/>
    <s v="Yes"/>
    <x v="2"/>
    <x v="0"/>
    <s v="Europe"/>
    <n v="42"/>
    <x v="0"/>
    <x v="0"/>
  </r>
  <r>
    <n v="26415"/>
    <x v="0"/>
    <x v="0"/>
    <n v="90000"/>
    <n v="4"/>
    <x v="3"/>
    <s v="Skilled Manual"/>
    <s v="Yes"/>
    <x v="3"/>
    <x v="4"/>
    <s v="Europe"/>
    <n v="58"/>
    <x v="1"/>
    <x v="0"/>
  </r>
  <r>
    <n v="12821"/>
    <x v="0"/>
    <x v="1"/>
    <n v="40000"/>
    <n v="0"/>
    <x v="0"/>
    <s v="Clerical"/>
    <s v="Yes"/>
    <x v="0"/>
    <x v="0"/>
    <s v="Europe"/>
    <n v="39"/>
    <x v="0"/>
    <x v="0"/>
  </r>
  <r>
    <n v="15629"/>
    <x v="1"/>
    <x v="0"/>
    <n v="10000"/>
    <n v="0"/>
    <x v="3"/>
    <s v="Manual"/>
    <s v="Yes"/>
    <x v="2"/>
    <x v="3"/>
    <s v="Europe"/>
    <n v="34"/>
    <x v="0"/>
    <x v="0"/>
  </r>
  <r>
    <n v="27835"/>
    <x v="0"/>
    <x v="1"/>
    <n v="20000"/>
    <n v="0"/>
    <x v="3"/>
    <s v="Manual"/>
    <s v="Yes"/>
    <x v="2"/>
    <x v="0"/>
    <s v="Europe"/>
    <n v="32"/>
    <x v="0"/>
    <x v="0"/>
  </r>
  <r>
    <n v="11738"/>
    <x v="0"/>
    <x v="1"/>
    <n v="60000"/>
    <n v="4"/>
    <x v="0"/>
    <s v="Professional"/>
    <s v="Yes"/>
    <x v="0"/>
    <x v="1"/>
    <s v="North America"/>
    <n v="46"/>
    <x v="0"/>
    <x v="0"/>
  </r>
  <r>
    <n v="25065"/>
    <x v="0"/>
    <x v="1"/>
    <n v="70000"/>
    <n v="2"/>
    <x v="3"/>
    <s v="Skilled Manual"/>
    <s v="Yes"/>
    <x v="2"/>
    <x v="2"/>
    <s v="North America"/>
    <n v="48"/>
    <x v="0"/>
    <x v="0"/>
  </r>
  <r>
    <n v="26238"/>
    <x v="1"/>
    <x v="0"/>
    <n v="40000"/>
    <n v="3"/>
    <x v="1"/>
    <s v="Clerical"/>
    <s v="Yes"/>
    <x v="1"/>
    <x v="3"/>
    <s v="North America"/>
    <n v="31"/>
    <x v="0"/>
    <x v="1"/>
  </r>
  <r>
    <n v="23707"/>
    <x v="1"/>
    <x v="1"/>
    <n v="70000"/>
    <n v="5"/>
    <x v="0"/>
    <s v="Management"/>
    <s v="Yes"/>
    <x v="4"/>
    <x v="4"/>
    <s v="North America"/>
    <n v="60"/>
    <x v="1"/>
    <x v="1"/>
  </r>
  <r>
    <n v="27650"/>
    <x v="0"/>
    <x v="1"/>
    <n v="70000"/>
    <n v="4"/>
    <x v="2"/>
    <s v="Professional"/>
    <s v="Yes"/>
    <x v="0"/>
    <x v="2"/>
    <s v="North America"/>
    <n v="51"/>
    <x v="1"/>
    <x v="0"/>
  </r>
  <r>
    <n v="24981"/>
    <x v="0"/>
    <x v="1"/>
    <n v="60000"/>
    <n v="2"/>
    <x v="1"/>
    <s v="Professional"/>
    <s v="Yes"/>
    <x v="2"/>
    <x v="4"/>
    <s v="North America"/>
    <n v="56"/>
    <x v="1"/>
    <x v="0"/>
  </r>
  <r>
    <n v="20678"/>
    <x v="1"/>
    <x v="0"/>
    <n v="60000"/>
    <n v="3"/>
    <x v="0"/>
    <s v="Skilled Manual"/>
    <s v="Yes"/>
    <x v="1"/>
    <x v="1"/>
    <s v="North America"/>
    <n v="40"/>
    <x v="0"/>
    <x v="1"/>
  </r>
  <r>
    <n v="15302"/>
    <x v="1"/>
    <x v="0"/>
    <n v="70000"/>
    <n v="1"/>
    <x v="4"/>
    <s v="Professional"/>
    <s v="Yes"/>
    <x v="0"/>
    <x v="1"/>
    <s v="North America"/>
    <n v="34"/>
    <x v="0"/>
    <x v="1"/>
  </r>
  <r>
    <n v="26012"/>
    <x v="0"/>
    <x v="1"/>
    <n v="80000"/>
    <n v="1"/>
    <x v="1"/>
    <s v="Skilled Manual"/>
    <s v="Yes"/>
    <x v="1"/>
    <x v="1"/>
    <s v="North America"/>
    <n v="48"/>
    <x v="0"/>
    <x v="1"/>
  </r>
  <r>
    <n v="26575"/>
    <x v="1"/>
    <x v="0"/>
    <n v="40000"/>
    <n v="0"/>
    <x v="2"/>
    <s v="Skilled Manual"/>
    <s v="No"/>
    <x v="2"/>
    <x v="3"/>
    <s v="North America"/>
    <n v="31"/>
    <x v="0"/>
    <x v="1"/>
  </r>
  <r>
    <n v="15559"/>
    <x v="0"/>
    <x v="1"/>
    <n v="60000"/>
    <n v="5"/>
    <x v="0"/>
    <s v="Professional"/>
    <s v="Yes"/>
    <x v="1"/>
    <x v="1"/>
    <s v="North America"/>
    <n v="47"/>
    <x v="0"/>
    <x v="0"/>
  </r>
  <r>
    <n v="19235"/>
    <x v="0"/>
    <x v="0"/>
    <n v="50000"/>
    <n v="0"/>
    <x v="4"/>
    <s v="Skilled Manual"/>
    <s v="Yes"/>
    <x v="0"/>
    <x v="0"/>
    <s v="North America"/>
    <n v="34"/>
    <x v="0"/>
    <x v="0"/>
  </r>
  <r>
    <n v="15275"/>
    <x v="0"/>
    <x v="1"/>
    <n v="40000"/>
    <n v="0"/>
    <x v="1"/>
    <s v="Skilled Manual"/>
    <s v="Yes"/>
    <x v="1"/>
    <x v="2"/>
    <s v="North America"/>
    <n v="29"/>
    <x v="2"/>
    <x v="0"/>
  </r>
  <r>
    <n v="20339"/>
    <x v="0"/>
    <x v="0"/>
    <n v="130000"/>
    <n v="1"/>
    <x v="0"/>
    <s v="Management"/>
    <s v="Yes"/>
    <x v="3"/>
    <x v="1"/>
    <s v="North America"/>
    <n v="44"/>
    <x v="0"/>
    <x v="1"/>
  </r>
  <r>
    <n v="25405"/>
    <x v="0"/>
    <x v="1"/>
    <n v="70000"/>
    <n v="2"/>
    <x v="0"/>
    <s v="Skilled Manual"/>
    <s v="Yes"/>
    <x v="1"/>
    <x v="1"/>
    <s v="North America"/>
    <n v="38"/>
    <x v="0"/>
    <x v="1"/>
  </r>
  <r>
    <n v="15940"/>
    <x v="0"/>
    <x v="1"/>
    <n v="100000"/>
    <n v="4"/>
    <x v="1"/>
    <s v="Professional"/>
    <s v="Yes"/>
    <x v="3"/>
    <x v="0"/>
    <s v="North America"/>
    <n v="40"/>
    <x v="0"/>
    <x v="0"/>
  </r>
  <r>
    <n v="25074"/>
    <x v="0"/>
    <x v="0"/>
    <n v="70000"/>
    <n v="4"/>
    <x v="0"/>
    <s v="Professional"/>
    <s v="Yes"/>
    <x v="2"/>
    <x v="1"/>
    <s v="North America"/>
    <n v="42"/>
    <x v="0"/>
    <x v="1"/>
  </r>
  <r>
    <n v="24738"/>
    <x v="0"/>
    <x v="0"/>
    <n v="40000"/>
    <n v="1"/>
    <x v="1"/>
    <s v="Clerical"/>
    <s v="Yes"/>
    <x v="1"/>
    <x v="3"/>
    <s v="North America"/>
    <n v="51"/>
    <x v="1"/>
    <x v="1"/>
  </r>
  <r>
    <n v="16337"/>
    <x v="0"/>
    <x v="1"/>
    <n v="60000"/>
    <n v="0"/>
    <x v="1"/>
    <s v="Skilled Manual"/>
    <s v="No"/>
    <x v="2"/>
    <x v="3"/>
    <s v="North America"/>
    <n v="29"/>
    <x v="2"/>
    <x v="0"/>
  </r>
  <r>
    <n v="24357"/>
    <x v="0"/>
    <x v="1"/>
    <n v="80000"/>
    <n v="3"/>
    <x v="0"/>
    <s v="Professional"/>
    <s v="Yes"/>
    <x v="1"/>
    <x v="1"/>
    <s v="North America"/>
    <n v="48"/>
    <x v="0"/>
    <x v="1"/>
  </r>
  <r>
    <n v="18613"/>
    <x v="1"/>
    <x v="1"/>
    <n v="70000"/>
    <n v="0"/>
    <x v="0"/>
    <s v="Professional"/>
    <s v="No"/>
    <x v="1"/>
    <x v="1"/>
    <s v="North America"/>
    <n v="37"/>
    <x v="0"/>
    <x v="1"/>
  </r>
  <r>
    <n v="12207"/>
    <x v="1"/>
    <x v="1"/>
    <n v="80000"/>
    <n v="4"/>
    <x v="0"/>
    <s v="Management"/>
    <s v="Yes"/>
    <x v="0"/>
    <x v="2"/>
    <s v="North America"/>
    <n v="66"/>
    <x v="1"/>
    <x v="1"/>
  </r>
  <r>
    <n v="18052"/>
    <x v="0"/>
    <x v="0"/>
    <n v="60000"/>
    <n v="1"/>
    <x v="1"/>
    <s v="Skilled Manual"/>
    <s v="Yes"/>
    <x v="1"/>
    <x v="0"/>
    <s v="North America"/>
    <n v="45"/>
    <x v="0"/>
    <x v="1"/>
  </r>
  <r>
    <n v="13353"/>
    <x v="1"/>
    <x v="0"/>
    <n v="60000"/>
    <n v="4"/>
    <x v="4"/>
    <s v="Management"/>
    <s v="Yes"/>
    <x v="2"/>
    <x v="4"/>
    <s v="North America"/>
    <n v="61"/>
    <x v="1"/>
    <x v="1"/>
  </r>
  <r>
    <n v="19399"/>
    <x v="1"/>
    <x v="1"/>
    <n v="40000"/>
    <n v="0"/>
    <x v="0"/>
    <s v="Professional"/>
    <s v="No"/>
    <x v="1"/>
    <x v="1"/>
    <s v="North America"/>
    <n v="45"/>
    <x v="0"/>
    <x v="0"/>
  </r>
  <r>
    <n v="16154"/>
    <x v="0"/>
    <x v="0"/>
    <n v="70000"/>
    <n v="5"/>
    <x v="0"/>
    <s v="Professional"/>
    <s v="Yes"/>
    <x v="2"/>
    <x v="1"/>
    <s v="North America"/>
    <n v="47"/>
    <x v="0"/>
    <x v="0"/>
  </r>
  <r>
    <n v="22219"/>
    <x v="0"/>
    <x v="0"/>
    <n v="60000"/>
    <n v="2"/>
    <x v="2"/>
    <s v="Professional"/>
    <s v="Yes"/>
    <x v="2"/>
    <x v="2"/>
    <s v="North America"/>
    <n v="49"/>
    <x v="0"/>
    <x v="0"/>
  </r>
  <r>
    <n v="17269"/>
    <x v="1"/>
    <x v="1"/>
    <n v="60000"/>
    <n v="3"/>
    <x v="0"/>
    <s v="Professional"/>
    <s v="No"/>
    <x v="0"/>
    <x v="0"/>
    <s v="North America"/>
    <n v="47"/>
    <x v="0"/>
    <x v="1"/>
  </r>
  <r>
    <n v="23586"/>
    <x v="0"/>
    <x v="0"/>
    <n v="80000"/>
    <n v="0"/>
    <x v="0"/>
    <s v="Management"/>
    <s v="Yes"/>
    <x v="1"/>
    <x v="3"/>
    <s v="North America"/>
    <n v="34"/>
    <x v="0"/>
    <x v="1"/>
  </r>
  <r>
    <n v="15740"/>
    <x v="0"/>
    <x v="1"/>
    <n v="80000"/>
    <n v="5"/>
    <x v="0"/>
    <s v="Management"/>
    <s v="Yes"/>
    <x v="2"/>
    <x v="3"/>
    <s v="North America"/>
    <n v="64"/>
    <x v="1"/>
    <x v="0"/>
  </r>
  <r>
    <n v="27638"/>
    <x v="1"/>
    <x v="1"/>
    <n v="100000"/>
    <n v="1"/>
    <x v="1"/>
    <s v="Professional"/>
    <s v="No"/>
    <x v="4"/>
    <x v="3"/>
    <s v="North America"/>
    <n v="44"/>
    <x v="0"/>
    <x v="0"/>
  </r>
  <r>
    <n v="18976"/>
    <x v="1"/>
    <x v="1"/>
    <n v="40000"/>
    <n v="4"/>
    <x v="2"/>
    <s v="Professional"/>
    <s v="Yes"/>
    <x v="2"/>
    <x v="4"/>
    <s v="North America"/>
    <n v="62"/>
    <x v="1"/>
    <x v="1"/>
  </r>
  <r>
    <n v="19413"/>
    <x v="1"/>
    <x v="1"/>
    <n v="60000"/>
    <n v="3"/>
    <x v="0"/>
    <s v="Professional"/>
    <s v="No"/>
    <x v="1"/>
    <x v="0"/>
    <s v="North America"/>
    <n v="47"/>
    <x v="0"/>
    <x v="1"/>
  </r>
  <r>
    <n v="13283"/>
    <x v="0"/>
    <x v="1"/>
    <n v="80000"/>
    <n v="3"/>
    <x v="1"/>
    <s v="Professional"/>
    <s v="No"/>
    <x v="2"/>
    <x v="0"/>
    <s v="North America"/>
    <n v="49"/>
    <x v="0"/>
    <x v="1"/>
  </r>
  <r>
    <n v="17471"/>
    <x v="1"/>
    <x v="0"/>
    <n v="80000"/>
    <n v="4"/>
    <x v="4"/>
    <s v="Management"/>
    <s v="Yes"/>
    <x v="2"/>
    <x v="2"/>
    <s v="North America"/>
    <n v="67"/>
    <x v="1"/>
    <x v="0"/>
  </r>
  <r>
    <n v="16791"/>
    <x v="1"/>
    <x v="1"/>
    <n v="60000"/>
    <n v="5"/>
    <x v="0"/>
    <s v="Management"/>
    <s v="Yes"/>
    <x v="4"/>
    <x v="4"/>
    <s v="North America"/>
    <n v="59"/>
    <x v="1"/>
    <x v="1"/>
  </r>
  <r>
    <n v="15382"/>
    <x v="0"/>
    <x v="0"/>
    <n v="110000"/>
    <n v="1"/>
    <x v="0"/>
    <s v="Management"/>
    <s v="Yes"/>
    <x v="2"/>
    <x v="3"/>
    <s v="North America"/>
    <n v="44"/>
    <x v="0"/>
    <x v="0"/>
  </r>
  <r>
    <n v="11641"/>
    <x v="0"/>
    <x v="1"/>
    <n v="50000"/>
    <n v="1"/>
    <x v="0"/>
    <s v="Skilled Manual"/>
    <s v="Yes"/>
    <x v="0"/>
    <x v="0"/>
    <s v="North America"/>
    <n v="36"/>
    <x v="0"/>
    <x v="0"/>
  </r>
  <r>
    <n v="11935"/>
    <x v="1"/>
    <x v="0"/>
    <n v="30000"/>
    <n v="0"/>
    <x v="1"/>
    <s v="Skilled Manual"/>
    <s v="Yes"/>
    <x v="1"/>
    <x v="2"/>
    <s v="North America"/>
    <n v="28"/>
    <x v="2"/>
    <x v="0"/>
  </r>
  <r>
    <n v="13233"/>
    <x v="0"/>
    <x v="1"/>
    <n v="60000"/>
    <n v="2"/>
    <x v="1"/>
    <s v="Professional"/>
    <s v="Yes"/>
    <x v="1"/>
    <x v="4"/>
    <s v="North America"/>
    <n v="57"/>
    <x v="1"/>
    <x v="1"/>
  </r>
  <r>
    <n v="25909"/>
    <x v="0"/>
    <x v="1"/>
    <n v="60000"/>
    <n v="0"/>
    <x v="1"/>
    <s v="Skilled Manual"/>
    <s v="Yes"/>
    <x v="1"/>
    <x v="2"/>
    <s v="North America"/>
    <n v="27"/>
    <x v="2"/>
    <x v="1"/>
  </r>
  <r>
    <n v="14092"/>
    <x v="1"/>
    <x v="1"/>
    <n v="30000"/>
    <n v="0"/>
    <x v="3"/>
    <s v="Clerical"/>
    <s v="Yes"/>
    <x v="2"/>
    <x v="2"/>
    <s v="North America"/>
    <n v="28"/>
    <x v="2"/>
    <x v="0"/>
  </r>
  <r>
    <n v="29143"/>
    <x v="1"/>
    <x v="0"/>
    <n v="60000"/>
    <n v="1"/>
    <x v="0"/>
    <s v="Professional"/>
    <s v="No"/>
    <x v="1"/>
    <x v="0"/>
    <s v="North America"/>
    <n v="44"/>
    <x v="0"/>
    <x v="1"/>
  </r>
  <r>
    <n v="24941"/>
    <x v="0"/>
    <x v="1"/>
    <n v="60000"/>
    <n v="3"/>
    <x v="0"/>
    <s v="Management"/>
    <s v="Yes"/>
    <x v="2"/>
    <x v="4"/>
    <s v="North America"/>
    <n v="66"/>
    <x v="1"/>
    <x v="0"/>
  </r>
  <r>
    <n v="24637"/>
    <x v="0"/>
    <x v="1"/>
    <n v="40000"/>
    <n v="4"/>
    <x v="2"/>
    <s v="Professional"/>
    <s v="Yes"/>
    <x v="2"/>
    <x v="4"/>
    <s v="North America"/>
    <n v="64"/>
    <x v="1"/>
    <x v="0"/>
  </r>
  <r>
    <n v="23893"/>
    <x v="0"/>
    <x v="1"/>
    <n v="50000"/>
    <n v="3"/>
    <x v="0"/>
    <s v="Skilled Manual"/>
    <s v="Yes"/>
    <x v="4"/>
    <x v="4"/>
    <s v="North America"/>
    <n v="41"/>
    <x v="0"/>
    <x v="0"/>
  </r>
  <r>
    <n v="13907"/>
    <x v="1"/>
    <x v="0"/>
    <n v="80000"/>
    <n v="3"/>
    <x v="0"/>
    <s v="Skilled Manual"/>
    <s v="Yes"/>
    <x v="1"/>
    <x v="0"/>
    <s v="North America"/>
    <n v="41"/>
    <x v="0"/>
    <x v="1"/>
  </r>
  <r>
    <n v="14900"/>
    <x v="0"/>
    <x v="0"/>
    <n v="40000"/>
    <n v="1"/>
    <x v="1"/>
    <s v="Clerical"/>
    <s v="Yes"/>
    <x v="1"/>
    <x v="3"/>
    <s v="North America"/>
    <n v="49"/>
    <x v="0"/>
    <x v="1"/>
  </r>
  <r>
    <n v="11262"/>
    <x v="0"/>
    <x v="0"/>
    <n v="80000"/>
    <n v="4"/>
    <x v="0"/>
    <s v="Management"/>
    <s v="Yes"/>
    <x v="0"/>
    <x v="0"/>
    <s v="North America"/>
    <n v="42"/>
    <x v="0"/>
    <x v="0"/>
  </r>
  <r>
    <n v="22294"/>
    <x v="1"/>
    <x v="0"/>
    <n v="70000"/>
    <n v="0"/>
    <x v="0"/>
    <s v="Professional"/>
    <s v="No"/>
    <x v="1"/>
    <x v="1"/>
    <s v="North America"/>
    <n v="37"/>
    <x v="0"/>
    <x v="1"/>
  </r>
  <r>
    <n v="12195"/>
    <x v="1"/>
    <x v="0"/>
    <n v="70000"/>
    <n v="3"/>
    <x v="4"/>
    <s v="Management"/>
    <s v="Yes"/>
    <x v="2"/>
    <x v="3"/>
    <s v="North America"/>
    <n v="52"/>
    <x v="1"/>
    <x v="0"/>
  </r>
  <r>
    <n v="25375"/>
    <x v="0"/>
    <x v="1"/>
    <n v="50000"/>
    <n v="1"/>
    <x v="4"/>
    <s v="Skilled Manual"/>
    <s v="Yes"/>
    <x v="0"/>
    <x v="3"/>
    <s v="North America"/>
    <n v="34"/>
    <x v="0"/>
    <x v="0"/>
  </r>
  <r>
    <n v="11143"/>
    <x v="0"/>
    <x v="1"/>
    <n v="40000"/>
    <n v="0"/>
    <x v="2"/>
    <s v="Skilled Manual"/>
    <s v="Yes"/>
    <x v="2"/>
    <x v="2"/>
    <s v="North America"/>
    <n v="29"/>
    <x v="2"/>
    <x v="0"/>
  </r>
  <r>
    <n v="25898"/>
    <x v="0"/>
    <x v="0"/>
    <n v="70000"/>
    <n v="2"/>
    <x v="2"/>
    <s v="Professional"/>
    <s v="Yes"/>
    <x v="2"/>
    <x v="1"/>
    <s v="North America"/>
    <n v="53"/>
    <x v="1"/>
    <x v="0"/>
  </r>
  <r>
    <n v="24397"/>
    <x v="1"/>
    <x v="1"/>
    <n v="120000"/>
    <n v="2"/>
    <x v="0"/>
    <s v="Management"/>
    <s v="No"/>
    <x v="3"/>
    <x v="3"/>
    <s v="North America"/>
    <n v="40"/>
    <x v="0"/>
    <x v="0"/>
  </r>
  <r>
    <n v="19758"/>
    <x v="1"/>
    <x v="1"/>
    <n v="60000"/>
    <n v="0"/>
    <x v="1"/>
    <s v="Skilled Manual"/>
    <s v="No"/>
    <x v="2"/>
    <x v="3"/>
    <s v="North America"/>
    <n v="29"/>
    <x v="2"/>
    <x v="0"/>
  </r>
  <r>
    <n v="15529"/>
    <x v="0"/>
    <x v="1"/>
    <n v="60000"/>
    <n v="4"/>
    <x v="0"/>
    <s v="Professional"/>
    <s v="Yes"/>
    <x v="2"/>
    <x v="1"/>
    <s v="North America"/>
    <n v="43"/>
    <x v="0"/>
    <x v="1"/>
  </r>
  <r>
    <n v="19884"/>
    <x v="0"/>
    <x v="1"/>
    <n v="60000"/>
    <n v="2"/>
    <x v="2"/>
    <s v="Professional"/>
    <s v="Yes"/>
    <x v="2"/>
    <x v="1"/>
    <s v="North America"/>
    <n v="55"/>
    <x v="1"/>
    <x v="1"/>
  </r>
  <r>
    <n v="18674"/>
    <x v="1"/>
    <x v="0"/>
    <n v="80000"/>
    <n v="4"/>
    <x v="4"/>
    <s v="Skilled Manual"/>
    <s v="No"/>
    <x v="0"/>
    <x v="0"/>
    <s v="North America"/>
    <n v="48"/>
    <x v="0"/>
    <x v="0"/>
  </r>
  <r>
    <n v="13453"/>
    <x v="0"/>
    <x v="0"/>
    <n v="130000"/>
    <n v="3"/>
    <x v="0"/>
    <s v="Management"/>
    <s v="Yes"/>
    <x v="4"/>
    <x v="0"/>
    <s v="North America"/>
    <n v="45"/>
    <x v="0"/>
    <x v="1"/>
  </r>
  <r>
    <n v="14063"/>
    <x v="1"/>
    <x v="0"/>
    <n v="70000"/>
    <n v="0"/>
    <x v="0"/>
    <s v="Professional"/>
    <s v="No"/>
    <x v="1"/>
    <x v="0"/>
    <s v="Pacific"/>
    <n v="42"/>
    <x v="0"/>
    <x v="1"/>
  </r>
  <r>
    <n v="27393"/>
    <x v="0"/>
    <x v="0"/>
    <n v="50000"/>
    <n v="4"/>
    <x v="0"/>
    <s v="Management"/>
    <s v="Yes"/>
    <x v="2"/>
    <x v="4"/>
    <s v="North America"/>
    <n v="63"/>
    <x v="1"/>
    <x v="0"/>
  </r>
  <r>
    <n v="14417"/>
    <x v="1"/>
    <x v="1"/>
    <n v="60000"/>
    <n v="3"/>
    <x v="2"/>
    <s v="Professional"/>
    <s v="Yes"/>
    <x v="2"/>
    <x v="4"/>
    <s v="North America"/>
    <n v="54"/>
    <x v="1"/>
    <x v="1"/>
  </r>
  <r>
    <n v="17533"/>
    <x v="0"/>
    <x v="1"/>
    <n v="40000"/>
    <n v="3"/>
    <x v="1"/>
    <s v="Professional"/>
    <s v="No"/>
    <x v="2"/>
    <x v="2"/>
    <s v="North America"/>
    <n v="73"/>
    <x v="1"/>
    <x v="1"/>
  </r>
  <r>
    <n v="18580"/>
    <x v="0"/>
    <x v="0"/>
    <n v="60000"/>
    <n v="2"/>
    <x v="4"/>
    <s v="Professional"/>
    <s v="Yes"/>
    <x v="0"/>
    <x v="1"/>
    <s v="North America"/>
    <n v="40"/>
    <x v="0"/>
    <x v="1"/>
  </r>
  <r>
    <n v="17025"/>
    <x v="1"/>
    <x v="1"/>
    <n v="50000"/>
    <n v="0"/>
    <x v="1"/>
    <s v="Skilled Manual"/>
    <s v="No"/>
    <x v="1"/>
    <x v="1"/>
    <s v="North America"/>
    <n v="39"/>
    <x v="0"/>
    <x v="1"/>
  </r>
  <r>
    <n v="25293"/>
    <x v="0"/>
    <x v="1"/>
    <n v="80000"/>
    <n v="4"/>
    <x v="0"/>
    <s v="Management"/>
    <s v="Yes"/>
    <x v="0"/>
    <x v="3"/>
    <s v="North America"/>
    <n v="42"/>
    <x v="0"/>
    <x v="0"/>
  </r>
  <r>
    <n v="24725"/>
    <x v="0"/>
    <x v="0"/>
    <n v="40000"/>
    <n v="3"/>
    <x v="1"/>
    <s v="Clerical"/>
    <s v="Yes"/>
    <x v="0"/>
    <x v="3"/>
    <s v="North America"/>
    <n v="31"/>
    <x v="0"/>
    <x v="0"/>
  </r>
  <r>
    <n v="23200"/>
    <x v="0"/>
    <x v="0"/>
    <n v="50000"/>
    <n v="3"/>
    <x v="0"/>
    <s v="Skilled Manual"/>
    <s v="Yes"/>
    <x v="2"/>
    <x v="0"/>
    <s v="North America"/>
    <n v="41"/>
    <x v="0"/>
    <x v="0"/>
  </r>
  <r>
    <n v="15895"/>
    <x v="1"/>
    <x v="0"/>
    <n v="60000"/>
    <n v="2"/>
    <x v="0"/>
    <s v="Management"/>
    <s v="Yes"/>
    <x v="0"/>
    <x v="4"/>
    <s v="North America"/>
    <n v="58"/>
    <x v="1"/>
    <x v="0"/>
  </r>
  <r>
    <n v="18577"/>
    <x v="0"/>
    <x v="0"/>
    <n v="60000"/>
    <n v="0"/>
    <x v="4"/>
    <s v="Professional"/>
    <s v="Yes"/>
    <x v="0"/>
    <x v="0"/>
    <s v="North America"/>
    <n v="40"/>
    <x v="0"/>
    <x v="0"/>
  </r>
  <r>
    <n v="27218"/>
    <x v="0"/>
    <x v="0"/>
    <n v="20000"/>
    <n v="2"/>
    <x v="3"/>
    <s v="Clerical"/>
    <s v="No"/>
    <x v="0"/>
    <x v="0"/>
    <s v="North America"/>
    <n v="48"/>
    <x v="0"/>
    <x v="0"/>
  </r>
  <r>
    <n v="18560"/>
    <x v="0"/>
    <x v="0"/>
    <n v="70000"/>
    <n v="2"/>
    <x v="4"/>
    <s v="Professional"/>
    <s v="Yes"/>
    <x v="0"/>
    <x v="1"/>
    <s v="North America"/>
    <n v="34"/>
    <x v="0"/>
    <x v="1"/>
  </r>
  <r>
    <n v="25006"/>
    <x v="1"/>
    <x v="0"/>
    <n v="30000"/>
    <n v="0"/>
    <x v="1"/>
    <s v="Skilled Manual"/>
    <s v="Yes"/>
    <x v="1"/>
    <x v="2"/>
    <s v="North America"/>
    <n v="28"/>
    <x v="2"/>
    <x v="0"/>
  </r>
  <r>
    <n v="17369"/>
    <x v="1"/>
    <x v="1"/>
    <n v="30000"/>
    <n v="0"/>
    <x v="1"/>
    <s v="Skilled Manual"/>
    <s v="Yes"/>
    <x v="1"/>
    <x v="2"/>
    <s v="North America"/>
    <n v="27"/>
    <x v="2"/>
    <x v="0"/>
  </r>
  <r>
    <n v="14495"/>
    <x v="0"/>
    <x v="1"/>
    <n v="40000"/>
    <n v="3"/>
    <x v="1"/>
    <s v="Professional"/>
    <s v="No"/>
    <x v="2"/>
    <x v="2"/>
    <s v="North America"/>
    <n v="54"/>
    <x v="1"/>
    <x v="1"/>
  </r>
  <r>
    <n v="18847"/>
    <x v="0"/>
    <x v="0"/>
    <n v="60000"/>
    <n v="2"/>
    <x v="4"/>
    <s v="Management"/>
    <s v="Yes"/>
    <x v="2"/>
    <x v="2"/>
    <s v="North America"/>
    <n v="70"/>
    <x v="1"/>
    <x v="0"/>
  </r>
  <r>
    <n v="14754"/>
    <x v="0"/>
    <x v="1"/>
    <n v="40000"/>
    <n v="1"/>
    <x v="1"/>
    <s v="Clerical"/>
    <s v="Yes"/>
    <x v="1"/>
    <x v="3"/>
    <s v="North America"/>
    <n v="48"/>
    <x v="0"/>
    <x v="1"/>
  </r>
  <r>
    <n v="23378"/>
    <x v="0"/>
    <x v="1"/>
    <n v="70000"/>
    <n v="1"/>
    <x v="1"/>
    <s v="Skilled Manual"/>
    <s v="Yes"/>
    <x v="1"/>
    <x v="1"/>
    <s v="North America"/>
    <n v="44"/>
    <x v="0"/>
    <x v="1"/>
  </r>
  <r>
    <n v="26452"/>
    <x v="1"/>
    <x v="1"/>
    <n v="50000"/>
    <n v="3"/>
    <x v="4"/>
    <s v="Management"/>
    <s v="Yes"/>
    <x v="2"/>
    <x v="4"/>
    <s v="North America"/>
    <n v="69"/>
    <x v="1"/>
    <x v="0"/>
  </r>
  <r>
    <n v="20370"/>
    <x v="0"/>
    <x v="1"/>
    <n v="70000"/>
    <n v="3"/>
    <x v="3"/>
    <s v="Skilled Manual"/>
    <s v="Yes"/>
    <x v="2"/>
    <x v="2"/>
    <s v="North America"/>
    <n v="52"/>
    <x v="1"/>
    <x v="0"/>
  </r>
  <r>
    <n v="20528"/>
    <x v="0"/>
    <x v="1"/>
    <n v="40000"/>
    <n v="2"/>
    <x v="3"/>
    <s v="Skilled Manual"/>
    <s v="Yes"/>
    <x v="2"/>
    <x v="1"/>
    <s v="North America"/>
    <n v="55"/>
    <x v="1"/>
    <x v="0"/>
  </r>
  <r>
    <n v="23549"/>
    <x v="1"/>
    <x v="1"/>
    <n v="30000"/>
    <n v="0"/>
    <x v="2"/>
    <s v="Skilled Manual"/>
    <s v="Yes"/>
    <x v="2"/>
    <x v="2"/>
    <s v="North America"/>
    <n v="30"/>
    <x v="0"/>
    <x v="0"/>
  </r>
  <r>
    <n v="21751"/>
    <x v="0"/>
    <x v="1"/>
    <n v="60000"/>
    <n v="3"/>
    <x v="4"/>
    <s v="Management"/>
    <s v="Yes"/>
    <x v="2"/>
    <x v="3"/>
    <s v="North America"/>
    <n v="63"/>
    <x v="1"/>
    <x v="0"/>
  </r>
  <r>
    <n v="21266"/>
    <x v="1"/>
    <x v="0"/>
    <n v="80000"/>
    <n v="0"/>
    <x v="0"/>
    <s v="Management"/>
    <s v="Yes"/>
    <x v="1"/>
    <x v="3"/>
    <s v="North America"/>
    <n v="34"/>
    <x v="0"/>
    <x v="1"/>
  </r>
  <r>
    <n v="13388"/>
    <x v="1"/>
    <x v="1"/>
    <n v="60000"/>
    <n v="2"/>
    <x v="1"/>
    <s v="Professional"/>
    <s v="Yes"/>
    <x v="1"/>
    <x v="4"/>
    <s v="North America"/>
    <n v="56"/>
    <x v="1"/>
    <x v="0"/>
  </r>
  <r>
    <n v="18752"/>
    <x v="1"/>
    <x v="0"/>
    <n v="40000"/>
    <n v="0"/>
    <x v="2"/>
    <s v="Skilled Manual"/>
    <s v="Yes"/>
    <x v="1"/>
    <x v="2"/>
    <s v="North America"/>
    <n v="31"/>
    <x v="0"/>
    <x v="0"/>
  </r>
  <r>
    <n v="16917"/>
    <x v="0"/>
    <x v="1"/>
    <n v="120000"/>
    <n v="1"/>
    <x v="0"/>
    <s v="Management"/>
    <s v="Yes"/>
    <x v="3"/>
    <x v="0"/>
    <s v="North America"/>
    <n v="38"/>
    <x v="0"/>
    <x v="0"/>
  </r>
  <r>
    <n v="15313"/>
    <x v="0"/>
    <x v="1"/>
    <n v="60000"/>
    <n v="4"/>
    <x v="0"/>
    <s v="Management"/>
    <s v="Yes"/>
    <x v="2"/>
    <x v="1"/>
    <s v="North America"/>
    <n v="59"/>
    <x v="1"/>
    <x v="0"/>
  </r>
  <r>
    <n v="25329"/>
    <x v="1"/>
    <x v="0"/>
    <n v="40000"/>
    <n v="3"/>
    <x v="1"/>
    <s v="Clerical"/>
    <s v="No"/>
    <x v="2"/>
    <x v="0"/>
    <s v="North America"/>
    <n v="32"/>
    <x v="0"/>
    <x v="0"/>
  </r>
  <r>
    <n v="20380"/>
    <x v="0"/>
    <x v="0"/>
    <n v="60000"/>
    <n v="3"/>
    <x v="4"/>
    <s v="Management"/>
    <s v="Yes"/>
    <x v="2"/>
    <x v="4"/>
    <s v="North America"/>
    <n v="69"/>
    <x v="1"/>
    <x v="0"/>
  </r>
  <r>
    <n v="23089"/>
    <x v="0"/>
    <x v="1"/>
    <n v="40000"/>
    <n v="0"/>
    <x v="1"/>
    <s v="Skilled Manual"/>
    <s v="Yes"/>
    <x v="1"/>
    <x v="2"/>
    <s v="North America"/>
    <n v="28"/>
    <x v="2"/>
    <x v="0"/>
  </r>
  <r>
    <n v="13749"/>
    <x v="0"/>
    <x v="1"/>
    <n v="80000"/>
    <n v="4"/>
    <x v="4"/>
    <s v="Skilled Manual"/>
    <s v="Yes"/>
    <x v="0"/>
    <x v="3"/>
    <s v="North America"/>
    <n v="47"/>
    <x v="0"/>
    <x v="0"/>
  </r>
  <r>
    <n v="24943"/>
    <x v="0"/>
    <x v="1"/>
    <n v="60000"/>
    <n v="3"/>
    <x v="0"/>
    <s v="Management"/>
    <s v="Yes"/>
    <x v="2"/>
    <x v="4"/>
    <s v="North America"/>
    <n v="66"/>
    <x v="1"/>
    <x v="0"/>
  </r>
  <r>
    <n v="28667"/>
    <x v="1"/>
    <x v="1"/>
    <n v="70000"/>
    <n v="2"/>
    <x v="0"/>
    <s v="Skilled Manual"/>
    <s v="No"/>
    <x v="1"/>
    <x v="0"/>
    <s v="North America"/>
    <n v="37"/>
    <x v="0"/>
    <x v="1"/>
  </r>
  <r>
    <n v="15194"/>
    <x v="1"/>
    <x v="1"/>
    <n v="120000"/>
    <n v="2"/>
    <x v="0"/>
    <s v="Management"/>
    <s v="No"/>
    <x v="4"/>
    <x v="0"/>
    <s v="North America"/>
    <n v="39"/>
    <x v="0"/>
    <x v="1"/>
  </r>
  <r>
    <n v="17436"/>
    <x v="0"/>
    <x v="1"/>
    <n v="60000"/>
    <n v="2"/>
    <x v="2"/>
    <s v="Professional"/>
    <s v="No"/>
    <x v="2"/>
    <x v="3"/>
    <s v="North America"/>
    <n v="51"/>
    <x v="1"/>
    <x v="0"/>
  </r>
  <r>
    <n v="18935"/>
    <x v="0"/>
    <x v="0"/>
    <n v="130000"/>
    <n v="0"/>
    <x v="4"/>
    <s v="Management"/>
    <s v="Yes"/>
    <x v="4"/>
    <x v="3"/>
    <s v="North America"/>
    <n v="40"/>
    <x v="0"/>
    <x v="0"/>
  </r>
  <r>
    <n v="16871"/>
    <x v="0"/>
    <x v="0"/>
    <n v="90000"/>
    <n v="2"/>
    <x v="2"/>
    <s v="Professional"/>
    <s v="Yes"/>
    <x v="1"/>
    <x v="4"/>
    <s v="North America"/>
    <n v="51"/>
    <x v="1"/>
    <x v="1"/>
  </r>
  <r>
    <n v="12100"/>
    <x v="1"/>
    <x v="1"/>
    <n v="60000"/>
    <n v="2"/>
    <x v="0"/>
    <s v="Management"/>
    <s v="Yes"/>
    <x v="0"/>
    <x v="4"/>
    <s v="North America"/>
    <n v="57"/>
    <x v="1"/>
    <x v="0"/>
  </r>
  <r>
    <n v="23158"/>
    <x v="0"/>
    <x v="0"/>
    <n v="60000"/>
    <n v="1"/>
    <x v="4"/>
    <s v="Professional"/>
    <s v="No"/>
    <x v="0"/>
    <x v="0"/>
    <s v="North America"/>
    <n v="35"/>
    <x v="0"/>
    <x v="1"/>
  </r>
  <r>
    <n v="18545"/>
    <x v="0"/>
    <x v="1"/>
    <n v="40000"/>
    <n v="4"/>
    <x v="2"/>
    <s v="Professional"/>
    <s v="No"/>
    <x v="2"/>
    <x v="4"/>
    <s v="North America"/>
    <n v="61"/>
    <x v="1"/>
    <x v="1"/>
  </r>
  <r>
    <n v="18391"/>
    <x v="1"/>
    <x v="0"/>
    <n v="80000"/>
    <n v="5"/>
    <x v="1"/>
    <s v="Professional"/>
    <s v="Yes"/>
    <x v="2"/>
    <x v="2"/>
    <s v="North America"/>
    <n v="44"/>
    <x v="0"/>
    <x v="0"/>
  </r>
  <r>
    <n v="19812"/>
    <x v="1"/>
    <x v="0"/>
    <n v="70000"/>
    <n v="2"/>
    <x v="1"/>
    <s v="Professional"/>
    <s v="Yes"/>
    <x v="0"/>
    <x v="2"/>
    <s v="North America"/>
    <n v="49"/>
    <x v="0"/>
    <x v="1"/>
  </r>
  <r>
    <n v="27660"/>
    <x v="0"/>
    <x v="1"/>
    <n v="80000"/>
    <n v="4"/>
    <x v="4"/>
    <s v="Management"/>
    <s v="Yes"/>
    <x v="2"/>
    <x v="2"/>
    <s v="North America"/>
    <n v="70"/>
    <x v="1"/>
    <x v="0"/>
  </r>
  <r>
    <n v="18058"/>
    <x v="1"/>
    <x v="0"/>
    <n v="20000"/>
    <n v="3"/>
    <x v="2"/>
    <s v="Skilled Manual"/>
    <s v="Yes"/>
    <x v="2"/>
    <x v="1"/>
    <s v="North America"/>
    <n v="78"/>
    <x v="1"/>
    <x v="0"/>
  </r>
  <r>
    <n v="20343"/>
    <x v="0"/>
    <x v="0"/>
    <n v="90000"/>
    <n v="4"/>
    <x v="1"/>
    <s v="Professional"/>
    <s v="Yes"/>
    <x v="1"/>
    <x v="3"/>
    <s v="North America"/>
    <n v="45"/>
    <x v="0"/>
    <x v="0"/>
  </r>
  <r>
    <n v="28997"/>
    <x v="1"/>
    <x v="1"/>
    <n v="40000"/>
    <n v="2"/>
    <x v="2"/>
    <s v="Professional"/>
    <s v="No"/>
    <x v="1"/>
    <x v="1"/>
    <s v="North America"/>
    <n v="58"/>
    <x v="1"/>
    <x v="1"/>
  </r>
  <r>
    <n v="24398"/>
    <x v="0"/>
    <x v="1"/>
    <n v="130000"/>
    <n v="1"/>
    <x v="4"/>
    <s v="Management"/>
    <s v="Yes"/>
    <x v="3"/>
    <x v="0"/>
    <s v="North America"/>
    <n v="41"/>
    <x v="0"/>
    <x v="0"/>
  </r>
  <r>
    <n v="19002"/>
    <x v="0"/>
    <x v="0"/>
    <n v="60000"/>
    <n v="2"/>
    <x v="1"/>
    <s v="Professional"/>
    <s v="Yes"/>
    <x v="1"/>
    <x v="1"/>
    <s v="North America"/>
    <n v="57"/>
    <x v="1"/>
    <x v="1"/>
  </r>
  <r>
    <n v="28609"/>
    <x v="0"/>
    <x v="1"/>
    <n v="30000"/>
    <n v="2"/>
    <x v="2"/>
    <s v="Skilled Manual"/>
    <s v="No"/>
    <x v="2"/>
    <x v="0"/>
    <s v="North America"/>
    <n v="49"/>
    <x v="0"/>
    <x v="0"/>
  </r>
  <r>
    <n v="29231"/>
    <x v="1"/>
    <x v="1"/>
    <n v="80000"/>
    <n v="4"/>
    <x v="1"/>
    <s v="Professional"/>
    <s v="No"/>
    <x v="2"/>
    <x v="0"/>
    <s v="North America"/>
    <n v="43"/>
    <x v="0"/>
    <x v="0"/>
  </r>
  <r>
    <n v="18858"/>
    <x v="1"/>
    <x v="1"/>
    <n v="60000"/>
    <n v="2"/>
    <x v="3"/>
    <s v="Skilled Manual"/>
    <s v="Yes"/>
    <x v="2"/>
    <x v="2"/>
    <s v="North America"/>
    <n v="52"/>
    <x v="1"/>
    <x v="1"/>
  </r>
  <r>
    <n v="20000"/>
    <x v="0"/>
    <x v="1"/>
    <n v="60000"/>
    <n v="1"/>
    <x v="4"/>
    <s v="Professional"/>
    <s v="Yes"/>
    <x v="0"/>
    <x v="0"/>
    <s v="North America"/>
    <n v="35"/>
    <x v="0"/>
    <x v="1"/>
  </r>
  <r>
    <n v="25261"/>
    <x v="0"/>
    <x v="1"/>
    <n v="40000"/>
    <n v="0"/>
    <x v="2"/>
    <s v="Skilled Manual"/>
    <s v="Yes"/>
    <x v="2"/>
    <x v="2"/>
    <s v="North America"/>
    <n v="27"/>
    <x v="2"/>
    <x v="0"/>
  </r>
  <r>
    <n v="17458"/>
    <x v="1"/>
    <x v="1"/>
    <n v="70000"/>
    <n v="3"/>
    <x v="2"/>
    <s v="Professional"/>
    <s v="Yes"/>
    <x v="0"/>
    <x v="2"/>
    <s v="North America"/>
    <n v="52"/>
    <x v="1"/>
    <x v="1"/>
  </r>
  <r>
    <n v="11644"/>
    <x v="1"/>
    <x v="1"/>
    <n v="40000"/>
    <n v="2"/>
    <x v="0"/>
    <s v="Skilled Manual"/>
    <s v="Yes"/>
    <x v="0"/>
    <x v="1"/>
    <s v="North America"/>
    <n v="36"/>
    <x v="0"/>
    <x v="0"/>
  </r>
  <r>
    <n v="16145"/>
    <x v="1"/>
    <x v="0"/>
    <n v="70000"/>
    <n v="5"/>
    <x v="4"/>
    <s v="Professional"/>
    <s v="Yes"/>
    <x v="4"/>
    <x v="4"/>
    <s v="North America"/>
    <n v="46"/>
    <x v="0"/>
    <x v="1"/>
  </r>
  <r>
    <n v="16890"/>
    <x v="0"/>
    <x v="1"/>
    <n v="60000"/>
    <n v="3"/>
    <x v="3"/>
    <s v="Skilled Manual"/>
    <s v="Yes"/>
    <x v="2"/>
    <x v="2"/>
    <s v="North America"/>
    <n v="52"/>
    <x v="1"/>
    <x v="1"/>
  </r>
  <r>
    <n v="25983"/>
    <x v="0"/>
    <x v="1"/>
    <n v="70000"/>
    <n v="0"/>
    <x v="0"/>
    <s v="Professional"/>
    <s v="No"/>
    <x v="1"/>
    <x v="0"/>
    <s v="North America"/>
    <n v="43"/>
    <x v="0"/>
    <x v="0"/>
  </r>
  <r>
    <n v="14633"/>
    <x v="0"/>
    <x v="1"/>
    <n v="60000"/>
    <n v="1"/>
    <x v="1"/>
    <s v="Skilled Manual"/>
    <s v="Yes"/>
    <x v="1"/>
    <x v="1"/>
    <s v="North America"/>
    <n v="44"/>
    <x v="0"/>
    <x v="0"/>
  </r>
  <r>
    <n v="22994"/>
    <x v="0"/>
    <x v="0"/>
    <n v="80000"/>
    <n v="0"/>
    <x v="0"/>
    <s v="Management"/>
    <s v="Yes"/>
    <x v="1"/>
    <x v="3"/>
    <s v="North America"/>
    <n v="34"/>
    <x v="0"/>
    <x v="1"/>
  </r>
  <r>
    <n v="22983"/>
    <x v="1"/>
    <x v="0"/>
    <n v="30000"/>
    <n v="0"/>
    <x v="3"/>
    <s v="Clerical"/>
    <s v="Yes"/>
    <x v="2"/>
    <x v="2"/>
    <s v="North America"/>
    <n v="27"/>
    <x v="2"/>
    <x v="0"/>
  </r>
  <r>
    <n v="25184"/>
    <x v="1"/>
    <x v="1"/>
    <n v="110000"/>
    <n v="1"/>
    <x v="1"/>
    <s v="Professional"/>
    <s v="Yes"/>
    <x v="3"/>
    <x v="2"/>
    <s v="North America"/>
    <n v="45"/>
    <x v="0"/>
    <x v="1"/>
  </r>
  <r>
    <n v="14469"/>
    <x v="0"/>
    <x v="0"/>
    <n v="100000"/>
    <n v="3"/>
    <x v="1"/>
    <s v="Professional"/>
    <s v="Yes"/>
    <x v="3"/>
    <x v="3"/>
    <s v="North America"/>
    <n v="45"/>
    <x v="0"/>
    <x v="0"/>
  </r>
  <r>
    <n v="11538"/>
    <x v="1"/>
    <x v="0"/>
    <n v="60000"/>
    <n v="4"/>
    <x v="4"/>
    <s v="Skilled Manual"/>
    <s v="No"/>
    <x v="0"/>
    <x v="0"/>
    <s v="North America"/>
    <n v="47"/>
    <x v="0"/>
    <x v="1"/>
  </r>
  <r>
    <n v="16245"/>
    <x v="1"/>
    <x v="0"/>
    <n v="80000"/>
    <n v="4"/>
    <x v="4"/>
    <s v="Skilled Manual"/>
    <s v="Yes"/>
    <x v="0"/>
    <x v="3"/>
    <s v="North America"/>
    <n v="47"/>
    <x v="0"/>
    <x v="0"/>
  </r>
  <r>
    <n v="17858"/>
    <x v="0"/>
    <x v="1"/>
    <n v="40000"/>
    <n v="4"/>
    <x v="2"/>
    <s v="Skilled Manual"/>
    <s v="Yes"/>
    <x v="2"/>
    <x v="1"/>
    <s v="North America"/>
    <n v="44"/>
    <x v="0"/>
    <x v="1"/>
  </r>
  <r>
    <n v="25347"/>
    <x v="1"/>
    <x v="0"/>
    <n v="20000"/>
    <n v="3"/>
    <x v="3"/>
    <s v="Clerical"/>
    <s v="No"/>
    <x v="2"/>
    <x v="0"/>
    <s v="North America"/>
    <n v="49"/>
    <x v="0"/>
    <x v="0"/>
  </r>
  <r>
    <n v="15814"/>
    <x v="1"/>
    <x v="0"/>
    <n v="40000"/>
    <n v="0"/>
    <x v="2"/>
    <s v="Skilled Manual"/>
    <s v="Yes"/>
    <x v="1"/>
    <x v="2"/>
    <s v="North America"/>
    <n v="30"/>
    <x v="0"/>
    <x v="0"/>
  </r>
  <r>
    <n v="11259"/>
    <x v="0"/>
    <x v="0"/>
    <n v="100000"/>
    <n v="4"/>
    <x v="1"/>
    <s v="Professional"/>
    <s v="Yes"/>
    <x v="3"/>
    <x v="1"/>
    <s v="North America"/>
    <n v="41"/>
    <x v="0"/>
    <x v="1"/>
  </r>
  <r>
    <n v="11200"/>
    <x v="0"/>
    <x v="1"/>
    <n v="70000"/>
    <n v="4"/>
    <x v="0"/>
    <s v="Management"/>
    <s v="Yes"/>
    <x v="1"/>
    <x v="3"/>
    <s v="North America"/>
    <n v="58"/>
    <x v="1"/>
    <x v="0"/>
  </r>
  <r>
    <n v="25101"/>
    <x v="0"/>
    <x v="1"/>
    <n v="60000"/>
    <n v="5"/>
    <x v="0"/>
    <s v="Professional"/>
    <s v="Yes"/>
    <x v="1"/>
    <x v="1"/>
    <s v="North America"/>
    <n v="47"/>
    <x v="0"/>
    <x v="0"/>
  </r>
  <r>
    <n v="21801"/>
    <x v="0"/>
    <x v="0"/>
    <n v="70000"/>
    <n v="4"/>
    <x v="1"/>
    <s v="Professional"/>
    <s v="Yes"/>
    <x v="1"/>
    <x v="3"/>
    <s v="North America"/>
    <n v="55"/>
    <x v="1"/>
    <x v="0"/>
  </r>
  <r>
    <n v="25943"/>
    <x v="1"/>
    <x v="0"/>
    <n v="70000"/>
    <n v="0"/>
    <x v="1"/>
    <s v="Skilled Manual"/>
    <s v="No"/>
    <x v="2"/>
    <x v="0"/>
    <s v="North America"/>
    <n v="27"/>
    <x v="2"/>
    <x v="1"/>
  </r>
  <r>
    <n v="22127"/>
    <x v="0"/>
    <x v="1"/>
    <n v="60000"/>
    <n v="3"/>
    <x v="4"/>
    <s v="Management"/>
    <s v="Yes"/>
    <x v="2"/>
    <x v="3"/>
    <s v="North America"/>
    <n v="67"/>
    <x v="1"/>
    <x v="0"/>
  </r>
  <r>
    <n v="20414"/>
    <x v="0"/>
    <x v="0"/>
    <n v="60000"/>
    <n v="0"/>
    <x v="1"/>
    <s v="Skilled Manual"/>
    <s v="Yes"/>
    <x v="2"/>
    <x v="2"/>
    <s v="North America"/>
    <n v="29"/>
    <x v="2"/>
    <x v="0"/>
  </r>
  <r>
    <n v="23672"/>
    <x v="0"/>
    <x v="0"/>
    <n v="60000"/>
    <n v="3"/>
    <x v="4"/>
    <s v="Management"/>
    <s v="Yes"/>
    <x v="2"/>
    <x v="3"/>
    <s v="North America"/>
    <n v="67"/>
    <x v="1"/>
    <x v="0"/>
  </r>
  <r>
    <n v="29255"/>
    <x v="1"/>
    <x v="1"/>
    <n v="80000"/>
    <n v="3"/>
    <x v="1"/>
    <s v="Professional"/>
    <s v="No"/>
    <x v="1"/>
    <x v="3"/>
    <s v="North America"/>
    <n v="51"/>
    <x v="1"/>
    <x v="1"/>
  </r>
  <r>
    <n v="28815"/>
    <x v="0"/>
    <x v="0"/>
    <n v="50000"/>
    <n v="1"/>
    <x v="4"/>
    <s v="Skilled Manual"/>
    <s v="Yes"/>
    <x v="0"/>
    <x v="0"/>
    <s v="North America"/>
    <n v="35"/>
    <x v="0"/>
    <x v="0"/>
  </r>
  <r>
    <n v="27753"/>
    <x v="0"/>
    <x v="1"/>
    <n v="40000"/>
    <n v="0"/>
    <x v="2"/>
    <s v="Skilled Manual"/>
    <s v="No"/>
    <x v="2"/>
    <x v="3"/>
    <s v="North America"/>
    <n v="30"/>
    <x v="0"/>
    <x v="0"/>
  </r>
  <r>
    <n v="27643"/>
    <x v="1"/>
    <x v="1"/>
    <n v="70000"/>
    <n v="5"/>
    <x v="1"/>
    <s v="Professional"/>
    <s v="Yes"/>
    <x v="4"/>
    <x v="1"/>
    <s v="North America"/>
    <n v="44"/>
    <x v="0"/>
    <x v="0"/>
  </r>
  <r>
    <n v="13754"/>
    <x v="1"/>
    <x v="0"/>
    <n v="80000"/>
    <n v="4"/>
    <x v="4"/>
    <s v="Skilled Manual"/>
    <s v="Yes"/>
    <x v="0"/>
    <x v="3"/>
    <s v="North America"/>
    <n v="48"/>
    <x v="0"/>
    <x v="0"/>
  </r>
  <r>
    <n v="22088"/>
    <x v="0"/>
    <x v="0"/>
    <n v="130000"/>
    <n v="1"/>
    <x v="0"/>
    <s v="Management"/>
    <s v="Yes"/>
    <x v="2"/>
    <x v="0"/>
    <s v="North America"/>
    <n v="45"/>
    <x v="0"/>
    <x v="1"/>
  </r>
  <r>
    <n v="27388"/>
    <x v="0"/>
    <x v="1"/>
    <n v="60000"/>
    <n v="3"/>
    <x v="0"/>
    <s v="Management"/>
    <s v="No"/>
    <x v="2"/>
    <x v="3"/>
    <s v="North America"/>
    <n v="66"/>
    <x v="1"/>
    <x v="0"/>
  </r>
  <r>
    <n v="24745"/>
    <x v="1"/>
    <x v="0"/>
    <n v="30000"/>
    <n v="2"/>
    <x v="2"/>
    <s v="Skilled Manual"/>
    <s v="No"/>
    <x v="2"/>
    <x v="0"/>
    <s v="North America"/>
    <n v="49"/>
    <x v="0"/>
    <x v="0"/>
  </r>
  <r>
    <n v="29237"/>
    <x v="1"/>
    <x v="0"/>
    <n v="120000"/>
    <n v="4"/>
    <x v="1"/>
    <s v="Professional"/>
    <s v="Yes"/>
    <x v="4"/>
    <x v="2"/>
    <s v="North America"/>
    <n v="43"/>
    <x v="0"/>
    <x v="1"/>
  </r>
  <r>
    <n v="15272"/>
    <x v="1"/>
    <x v="1"/>
    <n v="40000"/>
    <n v="0"/>
    <x v="2"/>
    <s v="Skilled Manual"/>
    <s v="No"/>
    <x v="2"/>
    <x v="3"/>
    <s v="North America"/>
    <n v="30"/>
    <x v="0"/>
    <x v="0"/>
  </r>
  <r>
    <n v="18949"/>
    <x v="1"/>
    <x v="1"/>
    <n v="70000"/>
    <n v="0"/>
    <x v="4"/>
    <s v="Management"/>
    <s v="Yes"/>
    <x v="2"/>
    <x v="2"/>
    <s v="North America"/>
    <n v="74"/>
    <x v="1"/>
    <x v="1"/>
  </r>
  <r>
    <n v="14507"/>
    <x v="0"/>
    <x v="1"/>
    <n v="100000"/>
    <n v="2"/>
    <x v="4"/>
    <s v="Management"/>
    <s v="Yes"/>
    <x v="4"/>
    <x v="3"/>
    <s v="North America"/>
    <n v="65"/>
    <x v="1"/>
    <x v="0"/>
  </r>
  <r>
    <n v="25886"/>
    <x v="0"/>
    <x v="0"/>
    <n v="60000"/>
    <n v="2"/>
    <x v="1"/>
    <s v="Professional"/>
    <s v="Yes"/>
    <x v="2"/>
    <x v="1"/>
    <s v="North America"/>
    <n v="56"/>
    <x v="1"/>
    <x v="1"/>
  </r>
  <r>
    <n v="21441"/>
    <x v="0"/>
    <x v="1"/>
    <n v="50000"/>
    <n v="4"/>
    <x v="0"/>
    <s v="Management"/>
    <s v="Yes"/>
    <x v="2"/>
    <x v="4"/>
    <s v="North America"/>
    <n v="64"/>
    <x v="1"/>
    <x v="0"/>
  </r>
  <r>
    <n v="21741"/>
    <x v="0"/>
    <x v="0"/>
    <n v="70000"/>
    <n v="3"/>
    <x v="1"/>
    <s v="Professional"/>
    <s v="Yes"/>
    <x v="2"/>
    <x v="2"/>
    <s v="North America"/>
    <n v="50"/>
    <x v="1"/>
    <x v="1"/>
  </r>
  <r>
    <n v="14572"/>
    <x v="0"/>
    <x v="0"/>
    <n v="70000"/>
    <n v="3"/>
    <x v="4"/>
    <s v="Professional"/>
    <s v="Yes"/>
    <x v="0"/>
    <x v="1"/>
    <s v="North America"/>
    <n v="35"/>
    <x v="0"/>
    <x v="1"/>
  </r>
  <r>
    <n v="23368"/>
    <x v="0"/>
    <x v="0"/>
    <n v="60000"/>
    <n v="5"/>
    <x v="0"/>
    <s v="Skilled Manual"/>
    <s v="Yes"/>
    <x v="4"/>
    <x v="4"/>
    <s v="North America"/>
    <n v="41"/>
    <x v="0"/>
    <x v="0"/>
  </r>
  <r>
    <n v="16217"/>
    <x v="1"/>
    <x v="0"/>
    <n v="60000"/>
    <n v="0"/>
    <x v="4"/>
    <s v="Skilled Manual"/>
    <s v="Yes"/>
    <x v="0"/>
    <x v="0"/>
    <s v="North America"/>
    <n v="39"/>
    <x v="0"/>
    <x v="0"/>
  </r>
  <r>
    <n v="16247"/>
    <x v="1"/>
    <x v="0"/>
    <n v="60000"/>
    <n v="4"/>
    <x v="4"/>
    <s v="Skilled Manual"/>
    <s v="No"/>
    <x v="0"/>
    <x v="3"/>
    <s v="North America"/>
    <n v="47"/>
    <x v="0"/>
    <x v="0"/>
  </r>
  <r>
    <n v="22010"/>
    <x v="1"/>
    <x v="1"/>
    <n v="40000"/>
    <n v="0"/>
    <x v="2"/>
    <s v="Skilled Manual"/>
    <s v="Yes"/>
    <x v="2"/>
    <x v="2"/>
    <s v="North America"/>
    <n v="31"/>
    <x v="0"/>
    <x v="0"/>
  </r>
  <r>
    <n v="25872"/>
    <x v="1"/>
    <x v="0"/>
    <n v="70000"/>
    <n v="2"/>
    <x v="0"/>
    <s v="Management"/>
    <s v="No"/>
    <x v="1"/>
    <x v="1"/>
    <s v="North America"/>
    <n v="58"/>
    <x v="1"/>
    <x v="1"/>
  </r>
  <r>
    <n v="19164"/>
    <x v="1"/>
    <x v="0"/>
    <n v="70000"/>
    <n v="0"/>
    <x v="0"/>
    <s v="Professional"/>
    <s v="No"/>
    <x v="1"/>
    <x v="1"/>
    <s v="North America"/>
    <n v="38"/>
    <x v="0"/>
    <x v="1"/>
  </r>
  <r>
    <n v="18435"/>
    <x v="1"/>
    <x v="0"/>
    <n v="70000"/>
    <n v="5"/>
    <x v="4"/>
    <s v="Management"/>
    <s v="Yes"/>
    <x v="2"/>
    <x v="4"/>
    <s v="North America"/>
    <n v="67"/>
    <x v="1"/>
    <x v="1"/>
  </r>
  <r>
    <n v="14284"/>
    <x v="1"/>
    <x v="1"/>
    <n v="60000"/>
    <n v="0"/>
    <x v="1"/>
    <s v="Professional"/>
    <s v="No"/>
    <x v="2"/>
    <x v="3"/>
    <s v="North America"/>
    <n v="32"/>
    <x v="0"/>
    <x v="1"/>
  </r>
  <r>
    <n v="11287"/>
    <x v="0"/>
    <x v="1"/>
    <n v="70000"/>
    <n v="5"/>
    <x v="1"/>
    <s v="Professional"/>
    <s v="No"/>
    <x v="4"/>
    <x v="2"/>
    <s v="North America"/>
    <n v="45"/>
    <x v="0"/>
    <x v="0"/>
  </r>
  <r>
    <n v="13066"/>
    <x v="1"/>
    <x v="1"/>
    <n v="30000"/>
    <n v="0"/>
    <x v="2"/>
    <s v="Skilled Manual"/>
    <s v="No"/>
    <x v="2"/>
    <x v="3"/>
    <s v="North America"/>
    <n v="31"/>
    <x v="0"/>
    <x v="1"/>
  </r>
  <r>
    <n v="29106"/>
    <x v="1"/>
    <x v="1"/>
    <n v="40000"/>
    <n v="0"/>
    <x v="2"/>
    <s v="Skilled Manual"/>
    <s v="No"/>
    <x v="2"/>
    <x v="3"/>
    <s v="North America"/>
    <n v="31"/>
    <x v="0"/>
    <x v="1"/>
  </r>
  <r>
    <n v="26236"/>
    <x v="0"/>
    <x v="0"/>
    <n v="40000"/>
    <n v="3"/>
    <x v="1"/>
    <s v="Clerical"/>
    <s v="Yes"/>
    <x v="1"/>
    <x v="0"/>
    <s v="North America"/>
    <n v="31"/>
    <x v="0"/>
    <x v="0"/>
  </r>
  <r>
    <n v="17531"/>
    <x v="0"/>
    <x v="1"/>
    <n v="60000"/>
    <n v="2"/>
    <x v="2"/>
    <s v="Professional"/>
    <s v="No"/>
    <x v="2"/>
    <x v="2"/>
    <s v="North America"/>
    <n v="50"/>
    <x v="1"/>
    <x v="0"/>
  </r>
  <r>
    <n v="12964"/>
    <x v="0"/>
    <x v="1"/>
    <n v="70000"/>
    <n v="1"/>
    <x v="1"/>
    <s v="Skilled Manual"/>
    <s v="Yes"/>
    <x v="1"/>
    <x v="0"/>
    <s v="North America"/>
    <n v="44"/>
    <x v="0"/>
    <x v="0"/>
  </r>
  <r>
    <n v="19133"/>
    <x v="1"/>
    <x v="1"/>
    <n v="50000"/>
    <n v="2"/>
    <x v="0"/>
    <s v="Skilled Manual"/>
    <s v="Yes"/>
    <x v="1"/>
    <x v="1"/>
    <s v="North America"/>
    <n v="38"/>
    <x v="0"/>
    <x v="1"/>
  </r>
  <r>
    <n v="24643"/>
    <x v="1"/>
    <x v="0"/>
    <n v="60000"/>
    <n v="4"/>
    <x v="0"/>
    <s v="Management"/>
    <s v="Yes"/>
    <x v="2"/>
    <x v="4"/>
    <s v="North America"/>
    <n v="63"/>
    <x v="1"/>
    <x v="0"/>
  </r>
  <r>
    <n v="21599"/>
    <x v="0"/>
    <x v="0"/>
    <n v="60000"/>
    <n v="1"/>
    <x v="4"/>
    <s v="Professional"/>
    <s v="Yes"/>
    <x v="0"/>
    <x v="1"/>
    <s v="North America"/>
    <n v="36"/>
    <x v="0"/>
    <x v="1"/>
  </r>
  <r>
    <n v="22976"/>
    <x v="1"/>
    <x v="1"/>
    <n v="40000"/>
    <n v="0"/>
    <x v="2"/>
    <s v="Skilled Manual"/>
    <s v="No"/>
    <x v="2"/>
    <x v="0"/>
    <s v="North America"/>
    <n v="28"/>
    <x v="2"/>
    <x v="1"/>
  </r>
  <r>
    <n v="27637"/>
    <x v="1"/>
    <x v="0"/>
    <n v="100000"/>
    <n v="1"/>
    <x v="1"/>
    <s v="Professional"/>
    <s v="No"/>
    <x v="4"/>
    <x v="3"/>
    <s v="North America"/>
    <n v="44"/>
    <x v="0"/>
    <x v="0"/>
  </r>
  <r>
    <n v="11890"/>
    <x v="0"/>
    <x v="0"/>
    <n v="70000"/>
    <n v="5"/>
    <x v="4"/>
    <s v="Professional"/>
    <s v="Yes"/>
    <x v="1"/>
    <x v="0"/>
    <s v="North America"/>
    <n v="47"/>
    <x v="0"/>
    <x v="0"/>
  </r>
  <r>
    <n v="28580"/>
    <x v="0"/>
    <x v="0"/>
    <n v="80000"/>
    <n v="0"/>
    <x v="4"/>
    <s v="Skilled Manual"/>
    <s v="Yes"/>
    <x v="0"/>
    <x v="3"/>
    <s v="North America"/>
    <n v="40"/>
    <x v="0"/>
    <x v="1"/>
  </r>
  <r>
    <n v="14443"/>
    <x v="0"/>
    <x v="1"/>
    <n v="130000"/>
    <n v="1"/>
    <x v="4"/>
    <s v="Management"/>
    <s v="Yes"/>
    <x v="3"/>
    <x v="0"/>
    <s v="North America"/>
    <n v="40"/>
    <x v="0"/>
    <x v="0"/>
  </r>
  <r>
    <n v="17864"/>
    <x v="0"/>
    <x v="0"/>
    <n v="60000"/>
    <n v="1"/>
    <x v="1"/>
    <s v="Skilled Manual"/>
    <s v="Yes"/>
    <x v="1"/>
    <x v="1"/>
    <s v="North America"/>
    <n v="46"/>
    <x v="0"/>
    <x v="1"/>
  </r>
  <r>
    <n v="20505"/>
    <x v="0"/>
    <x v="0"/>
    <n v="40000"/>
    <n v="5"/>
    <x v="2"/>
    <s v="Professional"/>
    <s v="No"/>
    <x v="2"/>
    <x v="4"/>
    <s v="North America"/>
    <n v="61"/>
    <x v="1"/>
    <x v="0"/>
  </r>
  <r>
    <n v="14592"/>
    <x v="0"/>
    <x v="0"/>
    <n v="60000"/>
    <n v="0"/>
    <x v="4"/>
    <s v="Professional"/>
    <s v="Yes"/>
    <x v="0"/>
    <x v="0"/>
    <s v="North America"/>
    <n v="40"/>
    <x v="0"/>
    <x v="0"/>
  </r>
  <r>
    <n v="22227"/>
    <x v="0"/>
    <x v="0"/>
    <n v="60000"/>
    <n v="2"/>
    <x v="2"/>
    <s v="Professional"/>
    <s v="Yes"/>
    <x v="2"/>
    <x v="2"/>
    <s v="North America"/>
    <n v="50"/>
    <x v="1"/>
    <x v="0"/>
  </r>
  <r>
    <n v="21471"/>
    <x v="0"/>
    <x v="1"/>
    <n v="70000"/>
    <n v="2"/>
    <x v="1"/>
    <s v="Professional"/>
    <s v="Yes"/>
    <x v="1"/>
    <x v="4"/>
    <s v="North America"/>
    <n v="59"/>
    <x v="1"/>
    <x v="0"/>
  </r>
  <r>
    <n v="22252"/>
    <x v="1"/>
    <x v="0"/>
    <n v="60000"/>
    <n v="1"/>
    <x v="4"/>
    <s v="Professional"/>
    <s v="Yes"/>
    <x v="0"/>
    <x v="1"/>
    <s v="North America"/>
    <n v="36"/>
    <x v="0"/>
    <x v="1"/>
  </r>
  <r>
    <n v="21260"/>
    <x v="1"/>
    <x v="0"/>
    <n v="40000"/>
    <n v="0"/>
    <x v="2"/>
    <s v="Skilled Manual"/>
    <s v="Yes"/>
    <x v="2"/>
    <x v="2"/>
    <s v="North America"/>
    <n v="30"/>
    <x v="0"/>
    <x v="0"/>
  </r>
  <r>
    <n v="11817"/>
    <x v="1"/>
    <x v="0"/>
    <n v="70000"/>
    <n v="4"/>
    <x v="4"/>
    <s v="Professional"/>
    <s v="Yes"/>
    <x v="0"/>
    <x v="1"/>
    <s v="North America"/>
    <n v="35"/>
    <x v="0"/>
    <x v="1"/>
  </r>
  <r>
    <n v="19223"/>
    <x v="0"/>
    <x v="0"/>
    <n v="30000"/>
    <n v="2"/>
    <x v="2"/>
    <s v="Skilled Manual"/>
    <s v="Yes"/>
    <x v="2"/>
    <x v="3"/>
    <s v="North America"/>
    <n v="48"/>
    <x v="0"/>
    <x v="0"/>
  </r>
  <r>
    <n v="18517"/>
    <x v="0"/>
    <x v="1"/>
    <n v="100000"/>
    <n v="3"/>
    <x v="0"/>
    <s v="Management"/>
    <s v="Yes"/>
    <x v="3"/>
    <x v="0"/>
    <s v="North America"/>
    <n v="41"/>
    <x v="0"/>
    <x v="0"/>
  </r>
  <r>
    <n v="21717"/>
    <x v="0"/>
    <x v="1"/>
    <n v="40000"/>
    <n v="2"/>
    <x v="1"/>
    <s v="Clerical"/>
    <s v="Yes"/>
    <x v="1"/>
    <x v="0"/>
    <s v="North America"/>
    <n v="47"/>
    <x v="0"/>
    <x v="0"/>
  </r>
  <r>
    <n v="13760"/>
    <x v="0"/>
    <x v="1"/>
    <n v="60000"/>
    <n v="4"/>
    <x v="4"/>
    <s v="Skilled Manual"/>
    <s v="No"/>
    <x v="0"/>
    <x v="0"/>
    <s v="North America"/>
    <n v="47"/>
    <x v="0"/>
    <x v="0"/>
  </r>
  <r>
    <n v="18145"/>
    <x v="0"/>
    <x v="1"/>
    <n v="80000"/>
    <n v="5"/>
    <x v="0"/>
    <s v="Management"/>
    <s v="No"/>
    <x v="2"/>
    <x v="1"/>
    <s v="Europe"/>
    <n v="62"/>
    <x v="1"/>
    <x v="0"/>
  </r>
  <r>
    <n v="21770"/>
    <x v="0"/>
    <x v="1"/>
    <n v="60000"/>
    <n v="4"/>
    <x v="0"/>
    <s v="Management"/>
    <s v="Yes"/>
    <x v="2"/>
    <x v="4"/>
    <s v="North America"/>
    <n v="60"/>
    <x v="1"/>
    <x v="0"/>
  </r>
  <r>
    <n v="11165"/>
    <x v="0"/>
    <x v="0"/>
    <n v="60000"/>
    <n v="0"/>
    <x v="1"/>
    <s v="Skilled Manual"/>
    <s v="No"/>
    <x v="1"/>
    <x v="3"/>
    <s v="North America"/>
    <n v="33"/>
    <x v="0"/>
    <x v="0"/>
  </r>
  <r>
    <n v="16377"/>
    <x v="1"/>
    <x v="0"/>
    <n v="80000"/>
    <n v="4"/>
    <x v="4"/>
    <s v="Skilled Manual"/>
    <s v="No"/>
    <x v="0"/>
    <x v="0"/>
    <s v="North America"/>
    <n v="47"/>
    <x v="0"/>
    <x v="0"/>
  </r>
  <r>
    <n v="26248"/>
    <x v="0"/>
    <x v="1"/>
    <n v="20000"/>
    <n v="3"/>
    <x v="3"/>
    <s v="Clerical"/>
    <s v="No"/>
    <x v="2"/>
    <x v="0"/>
    <s v="North America"/>
    <n v="52"/>
    <x v="1"/>
    <x v="0"/>
  </r>
  <r>
    <n v="23461"/>
    <x v="0"/>
    <x v="0"/>
    <n v="90000"/>
    <n v="5"/>
    <x v="1"/>
    <s v="Professional"/>
    <s v="Yes"/>
    <x v="4"/>
    <x v="1"/>
    <s v="North America"/>
    <n v="40"/>
    <x v="0"/>
    <x v="0"/>
  </r>
  <r>
    <n v="29133"/>
    <x v="1"/>
    <x v="0"/>
    <n v="60000"/>
    <n v="4"/>
    <x v="0"/>
    <s v="Skilled Manual"/>
    <s v="No"/>
    <x v="2"/>
    <x v="0"/>
    <s v="North America"/>
    <n v="42"/>
    <x v="0"/>
    <x v="0"/>
  </r>
  <r>
    <n v="27673"/>
    <x v="1"/>
    <x v="0"/>
    <n v="60000"/>
    <n v="3"/>
    <x v="4"/>
    <s v="Management"/>
    <s v="Yes"/>
    <x v="2"/>
    <x v="2"/>
    <s v="North America"/>
    <n v="53"/>
    <x v="1"/>
    <x v="1"/>
  </r>
  <r>
    <n v="12774"/>
    <x v="0"/>
    <x v="0"/>
    <n v="40000"/>
    <n v="1"/>
    <x v="1"/>
    <s v="Clerical"/>
    <s v="Yes"/>
    <x v="1"/>
    <x v="3"/>
    <s v="North America"/>
    <n v="51"/>
    <x v="1"/>
    <x v="1"/>
  </r>
  <r>
    <n v="18910"/>
    <x v="1"/>
    <x v="1"/>
    <n v="30000"/>
    <n v="0"/>
    <x v="1"/>
    <s v="Skilled Manual"/>
    <s v="Yes"/>
    <x v="2"/>
    <x v="2"/>
    <s v="North America"/>
    <n v="30"/>
    <x v="0"/>
    <x v="0"/>
  </r>
  <r>
    <n v="11699"/>
    <x v="1"/>
    <x v="1"/>
    <n v="60000"/>
    <n v="0"/>
    <x v="0"/>
    <s v="Skilled Manual"/>
    <s v="No"/>
    <x v="2"/>
    <x v="0"/>
    <s v="North America"/>
    <n v="30"/>
    <x v="0"/>
    <x v="0"/>
  </r>
  <r>
    <n v="16725"/>
    <x v="0"/>
    <x v="1"/>
    <n v="30000"/>
    <n v="0"/>
    <x v="2"/>
    <s v="Skilled Manual"/>
    <s v="Yes"/>
    <x v="2"/>
    <x v="2"/>
    <s v="North America"/>
    <n v="26"/>
    <x v="2"/>
    <x v="0"/>
  </r>
  <r>
    <n v="28269"/>
    <x v="1"/>
    <x v="0"/>
    <n v="130000"/>
    <n v="1"/>
    <x v="0"/>
    <s v="Management"/>
    <s v="No"/>
    <x v="1"/>
    <x v="1"/>
    <s v="North America"/>
    <n v="45"/>
    <x v="0"/>
    <x v="0"/>
  </r>
  <r>
    <n v="23144"/>
    <x v="0"/>
    <x v="1"/>
    <n v="50000"/>
    <n v="1"/>
    <x v="0"/>
    <s v="Skilled Manual"/>
    <s v="Yes"/>
    <x v="0"/>
    <x v="0"/>
    <s v="North America"/>
    <n v="34"/>
    <x v="0"/>
    <x v="1"/>
  </r>
  <r>
    <n v="23376"/>
    <x v="0"/>
    <x v="1"/>
    <n v="70000"/>
    <n v="1"/>
    <x v="0"/>
    <s v="Professional"/>
    <s v="Yes"/>
    <x v="1"/>
    <x v="1"/>
    <s v="North America"/>
    <n v="44"/>
    <x v="0"/>
    <x v="1"/>
  </r>
  <r>
    <n v="25970"/>
    <x v="1"/>
    <x v="0"/>
    <n v="60000"/>
    <n v="4"/>
    <x v="0"/>
    <s v="Skilled Manual"/>
    <s v="No"/>
    <x v="2"/>
    <x v="0"/>
    <s v="North America"/>
    <n v="41"/>
    <x v="0"/>
    <x v="1"/>
  </r>
  <r>
    <n v="28068"/>
    <x v="1"/>
    <x v="0"/>
    <n v="80000"/>
    <n v="3"/>
    <x v="4"/>
    <s v="Professional"/>
    <s v="No"/>
    <x v="0"/>
    <x v="0"/>
    <s v="North America"/>
    <n v="36"/>
    <x v="0"/>
    <x v="1"/>
  </r>
  <r>
    <n v="18390"/>
    <x v="0"/>
    <x v="1"/>
    <n v="80000"/>
    <n v="5"/>
    <x v="1"/>
    <s v="Professional"/>
    <s v="Yes"/>
    <x v="2"/>
    <x v="0"/>
    <s v="North America"/>
    <n v="44"/>
    <x v="0"/>
    <x v="0"/>
  </r>
  <r>
    <n v="29112"/>
    <x v="1"/>
    <x v="1"/>
    <n v="60000"/>
    <n v="0"/>
    <x v="1"/>
    <s v="Professional"/>
    <s v="No"/>
    <x v="2"/>
    <x v="3"/>
    <s v="North America"/>
    <n v="30"/>
    <x v="0"/>
    <x v="0"/>
  </r>
  <r>
    <n v="14090"/>
    <x v="0"/>
    <x v="0"/>
    <n v="30000"/>
    <n v="0"/>
    <x v="3"/>
    <s v="Clerical"/>
    <s v="No"/>
    <x v="2"/>
    <x v="0"/>
    <s v="North America"/>
    <n v="28"/>
    <x v="2"/>
    <x v="0"/>
  </r>
  <r>
    <n v="27040"/>
    <x v="0"/>
    <x v="1"/>
    <n v="20000"/>
    <n v="2"/>
    <x v="3"/>
    <s v="Clerical"/>
    <s v="Yes"/>
    <x v="2"/>
    <x v="3"/>
    <s v="North America"/>
    <n v="49"/>
    <x v="0"/>
    <x v="0"/>
  </r>
  <r>
    <n v="23479"/>
    <x v="1"/>
    <x v="1"/>
    <n v="90000"/>
    <n v="0"/>
    <x v="1"/>
    <s v="Professional"/>
    <s v="No"/>
    <x v="2"/>
    <x v="0"/>
    <s v="North America"/>
    <n v="43"/>
    <x v="0"/>
    <x v="1"/>
  </r>
  <r>
    <n v="16795"/>
    <x v="0"/>
    <x v="0"/>
    <n v="70000"/>
    <n v="4"/>
    <x v="0"/>
    <s v="Management"/>
    <s v="Yes"/>
    <x v="1"/>
    <x v="3"/>
    <s v="North America"/>
    <n v="59"/>
    <x v="1"/>
    <x v="0"/>
  </r>
  <r>
    <n v="22014"/>
    <x v="1"/>
    <x v="1"/>
    <n v="30000"/>
    <n v="0"/>
    <x v="2"/>
    <s v="Skilled Manual"/>
    <s v="Yes"/>
    <x v="2"/>
    <x v="2"/>
    <s v="North America"/>
    <n v="26"/>
    <x v="2"/>
    <x v="0"/>
  </r>
  <r>
    <n v="13314"/>
    <x v="0"/>
    <x v="1"/>
    <n v="120000"/>
    <n v="1"/>
    <x v="2"/>
    <s v="Professional"/>
    <s v="Yes"/>
    <x v="3"/>
    <x v="2"/>
    <s v="North America"/>
    <n v="46"/>
    <x v="0"/>
    <x v="1"/>
  </r>
  <r>
    <n v="11619"/>
    <x v="1"/>
    <x v="0"/>
    <n v="50000"/>
    <n v="0"/>
    <x v="4"/>
    <s v="Skilled Manual"/>
    <s v="Yes"/>
    <x v="0"/>
    <x v="3"/>
    <s v="North America"/>
    <n v="33"/>
    <x v="0"/>
    <x v="0"/>
  </r>
  <r>
    <n v="29132"/>
    <x v="1"/>
    <x v="0"/>
    <n v="40000"/>
    <n v="0"/>
    <x v="0"/>
    <s v="Professional"/>
    <s v="Yes"/>
    <x v="1"/>
    <x v="1"/>
    <s v="North America"/>
    <n v="42"/>
    <x v="0"/>
    <x v="1"/>
  </r>
  <r>
    <n v="11199"/>
    <x v="0"/>
    <x v="0"/>
    <n v="70000"/>
    <n v="4"/>
    <x v="0"/>
    <s v="Management"/>
    <s v="Yes"/>
    <x v="1"/>
    <x v="4"/>
    <s v="North America"/>
    <n v="59"/>
    <x v="1"/>
    <x v="0"/>
  </r>
  <r>
    <n v="20296"/>
    <x v="1"/>
    <x v="0"/>
    <n v="60000"/>
    <n v="0"/>
    <x v="1"/>
    <s v="Skilled Manual"/>
    <s v="No"/>
    <x v="1"/>
    <x v="3"/>
    <s v="North America"/>
    <n v="33"/>
    <x v="0"/>
    <x v="1"/>
  </r>
  <r>
    <n v="17546"/>
    <x v="0"/>
    <x v="0"/>
    <n v="70000"/>
    <n v="1"/>
    <x v="1"/>
    <s v="Skilled Manual"/>
    <s v="Yes"/>
    <x v="1"/>
    <x v="0"/>
    <s v="North America"/>
    <n v="44"/>
    <x v="0"/>
    <x v="1"/>
  </r>
  <r>
    <n v="18069"/>
    <x v="0"/>
    <x v="1"/>
    <n v="70000"/>
    <n v="5"/>
    <x v="0"/>
    <s v="Management"/>
    <s v="Yes"/>
    <x v="3"/>
    <x v="4"/>
    <s v="North America"/>
    <n v="60"/>
    <x v="1"/>
    <x v="0"/>
  </r>
  <r>
    <n v="23712"/>
    <x v="1"/>
    <x v="0"/>
    <n v="70000"/>
    <n v="2"/>
    <x v="0"/>
    <s v="Management"/>
    <s v="Yes"/>
    <x v="1"/>
    <x v="4"/>
    <s v="North America"/>
    <n v="59"/>
    <x v="1"/>
    <x v="0"/>
  </r>
  <r>
    <n v="23358"/>
    <x v="0"/>
    <x v="1"/>
    <n v="60000"/>
    <n v="0"/>
    <x v="2"/>
    <s v="Professional"/>
    <s v="Yes"/>
    <x v="2"/>
    <x v="2"/>
    <s v="North America"/>
    <n v="32"/>
    <x v="0"/>
    <x v="1"/>
  </r>
  <r>
    <n v="20518"/>
    <x v="0"/>
    <x v="0"/>
    <n v="70000"/>
    <n v="2"/>
    <x v="1"/>
    <s v="Professional"/>
    <s v="Yes"/>
    <x v="1"/>
    <x v="4"/>
    <s v="North America"/>
    <n v="58"/>
    <x v="1"/>
    <x v="0"/>
  </r>
  <r>
    <n v="28026"/>
    <x v="0"/>
    <x v="0"/>
    <n v="40000"/>
    <n v="2"/>
    <x v="2"/>
    <s v="Professional"/>
    <s v="No"/>
    <x v="2"/>
    <x v="1"/>
    <s v="North America"/>
    <n v="59"/>
    <x v="1"/>
    <x v="0"/>
  </r>
  <r>
    <n v="11669"/>
    <x v="1"/>
    <x v="0"/>
    <n v="70000"/>
    <n v="2"/>
    <x v="0"/>
    <s v="Skilled Manual"/>
    <s v="Yes"/>
    <x v="1"/>
    <x v="1"/>
    <s v="North America"/>
    <n v="38"/>
    <x v="0"/>
    <x v="0"/>
  </r>
  <r>
    <n v="16020"/>
    <x v="0"/>
    <x v="1"/>
    <n v="40000"/>
    <n v="0"/>
    <x v="2"/>
    <s v="Skilled Manual"/>
    <s v="Yes"/>
    <x v="2"/>
    <x v="2"/>
    <s v="North America"/>
    <n v="28"/>
    <x v="2"/>
    <x v="1"/>
  </r>
  <r>
    <n v="27090"/>
    <x v="0"/>
    <x v="0"/>
    <n v="60000"/>
    <n v="1"/>
    <x v="4"/>
    <s v="Professional"/>
    <s v="Yes"/>
    <x v="0"/>
    <x v="1"/>
    <s v="North America"/>
    <n v="37"/>
    <x v="0"/>
    <x v="1"/>
  </r>
  <r>
    <n v="27198"/>
    <x v="1"/>
    <x v="0"/>
    <n v="80000"/>
    <n v="0"/>
    <x v="4"/>
    <s v="Skilled Manual"/>
    <s v="No"/>
    <x v="0"/>
    <x v="0"/>
    <s v="North America"/>
    <n v="40"/>
    <x v="0"/>
    <x v="0"/>
  </r>
  <r>
    <n v="19661"/>
    <x v="1"/>
    <x v="1"/>
    <n v="90000"/>
    <n v="4"/>
    <x v="0"/>
    <s v="Management"/>
    <s v="Yes"/>
    <x v="1"/>
    <x v="3"/>
    <s v="North America"/>
    <n v="38"/>
    <x v="0"/>
    <x v="1"/>
  </r>
  <r>
    <n v="26327"/>
    <x v="0"/>
    <x v="1"/>
    <n v="70000"/>
    <n v="4"/>
    <x v="4"/>
    <s v="Professional"/>
    <s v="Yes"/>
    <x v="0"/>
    <x v="1"/>
    <s v="North America"/>
    <n v="36"/>
    <x v="0"/>
    <x v="1"/>
  </r>
  <r>
    <n v="26341"/>
    <x v="0"/>
    <x v="0"/>
    <n v="70000"/>
    <n v="5"/>
    <x v="4"/>
    <s v="Professional"/>
    <s v="Yes"/>
    <x v="2"/>
    <x v="0"/>
    <s v="North America"/>
    <n v="37"/>
    <x v="0"/>
    <x v="0"/>
  </r>
  <r>
    <n v="24958"/>
    <x v="1"/>
    <x v="0"/>
    <n v="40000"/>
    <n v="5"/>
    <x v="2"/>
    <s v="Professional"/>
    <s v="No"/>
    <x v="4"/>
    <x v="1"/>
    <s v="North America"/>
    <n v="60"/>
    <x v="1"/>
    <x v="1"/>
  </r>
  <r>
    <n v="13287"/>
    <x v="1"/>
    <x v="1"/>
    <n v="110000"/>
    <n v="4"/>
    <x v="0"/>
    <s v="Management"/>
    <s v="Yes"/>
    <x v="3"/>
    <x v="2"/>
    <s v="North America"/>
    <n v="42"/>
    <x v="0"/>
    <x v="1"/>
  </r>
  <r>
    <n v="14493"/>
    <x v="1"/>
    <x v="0"/>
    <n v="70000"/>
    <n v="3"/>
    <x v="4"/>
    <s v="Management"/>
    <s v="No"/>
    <x v="2"/>
    <x v="3"/>
    <s v="North America"/>
    <n v="53"/>
    <x v="1"/>
    <x v="0"/>
  </r>
  <r>
    <n v="26678"/>
    <x v="1"/>
    <x v="0"/>
    <n v="80000"/>
    <n v="2"/>
    <x v="3"/>
    <s v="Skilled Manual"/>
    <s v="Yes"/>
    <x v="2"/>
    <x v="2"/>
    <s v="North America"/>
    <n v="49"/>
    <x v="0"/>
    <x v="0"/>
  </r>
  <r>
    <n v="23275"/>
    <x v="0"/>
    <x v="1"/>
    <n v="30000"/>
    <n v="2"/>
    <x v="2"/>
    <s v="Skilled Manual"/>
    <s v="Yes"/>
    <x v="2"/>
    <x v="3"/>
    <s v="North America"/>
    <n v="49"/>
    <x v="0"/>
    <x v="0"/>
  </r>
  <r>
    <n v="11270"/>
    <x v="0"/>
    <x v="1"/>
    <n v="130000"/>
    <n v="2"/>
    <x v="4"/>
    <s v="Management"/>
    <s v="Yes"/>
    <x v="4"/>
    <x v="0"/>
    <s v="North America"/>
    <n v="42"/>
    <x v="0"/>
    <x v="1"/>
  </r>
  <r>
    <n v="20084"/>
    <x v="0"/>
    <x v="1"/>
    <n v="20000"/>
    <n v="2"/>
    <x v="2"/>
    <s v="Manual"/>
    <s v="No"/>
    <x v="2"/>
    <x v="0"/>
    <s v="North America"/>
    <n v="53"/>
    <x v="1"/>
    <x v="0"/>
  </r>
  <r>
    <n v="16144"/>
    <x v="0"/>
    <x v="1"/>
    <n v="70000"/>
    <n v="1"/>
    <x v="4"/>
    <s v="Professional"/>
    <s v="Yes"/>
    <x v="1"/>
    <x v="0"/>
    <s v="North America"/>
    <n v="46"/>
    <x v="0"/>
    <x v="1"/>
  </r>
  <r>
    <n v="27731"/>
    <x v="0"/>
    <x v="1"/>
    <n v="40000"/>
    <n v="0"/>
    <x v="2"/>
    <s v="Skilled Manual"/>
    <s v="Yes"/>
    <x v="2"/>
    <x v="2"/>
    <s v="North America"/>
    <n v="27"/>
    <x v="2"/>
    <x v="0"/>
  </r>
  <r>
    <n v="11886"/>
    <x v="0"/>
    <x v="0"/>
    <n v="60000"/>
    <n v="3"/>
    <x v="0"/>
    <s v="Professional"/>
    <s v="Yes"/>
    <x v="1"/>
    <x v="0"/>
    <s v="North America"/>
    <n v="48"/>
    <x v="0"/>
    <x v="1"/>
  </r>
  <r>
    <n v="24324"/>
    <x v="1"/>
    <x v="0"/>
    <n v="60000"/>
    <n v="4"/>
    <x v="0"/>
    <s v="Skilled Manual"/>
    <s v="Yes"/>
    <x v="2"/>
    <x v="1"/>
    <s v="North America"/>
    <n v="41"/>
    <x v="0"/>
    <x v="1"/>
  </r>
  <r>
    <n v="22220"/>
    <x v="0"/>
    <x v="1"/>
    <n v="60000"/>
    <n v="2"/>
    <x v="2"/>
    <s v="Professional"/>
    <s v="No"/>
    <x v="2"/>
    <x v="3"/>
    <s v="North America"/>
    <n v="49"/>
    <x v="0"/>
    <x v="1"/>
  </r>
  <r>
    <n v="26625"/>
    <x v="1"/>
    <x v="0"/>
    <n v="60000"/>
    <n v="0"/>
    <x v="4"/>
    <s v="Professional"/>
    <s v="Yes"/>
    <x v="1"/>
    <x v="1"/>
    <s v="North America"/>
    <n v="38"/>
    <x v="0"/>
    <x v="1"/>
  </r>
  <r>
    <n v="23027"/>
    <x v="1"/>
    <x v="1"/>
    <n v="130000"/>
    <n v="1"/>
    <x v="0"/>
    <s v="Management"/>
    <s v="No"/>
    <x v="3"/>
    <x v="0"/>
    <s v="North America"/>
    <n v="44"/>
    <x v="0"/>
    <x v="0"/>
  </r>
  <r>
    <n v="16867"/>
    <x v="1"/>
    <x v="0"/>
    <n v="130000"/>
    <n v="1"/>
    <x v="0"/>
    <s v="Management"/>
    <s v="No"/>
    <x v="4"/>
    <x v="0"/>
    <s v="North America"/>
    <n v="45"/>
    <x v="0"/>
    <x v="1"/>
  </r>
  <r>
    <n v="14514"/>
    <x v="1"/>
    <x v="0"/>
    <n v="30000"/>
    <n v="0"/>
    <x v="1"/>
    <s v="Skilled Manual"/>
    <s v="Yes"/>
    <x v="1"/>
    <x v="2"/>
    <s v="North America"/>
    <n v="26"/>
    <x v="2"/>
    <x v="0"/>
  </r>
  <r>
    <n v="19634"/>
    <x v="0"/>
    <x v="1"/>
    <n v="40000"/>
    <n v="0"/>
    <x v="2"/>
    <s v="Skilled Manual"/>
    <s v="Yes"/>
    <x v="1"/>
    <x v="2"/>
    <s v="North America"/>
    <n v="31"/>
    <x v="0"/>
    <x v="0"/>
  </r>
  <r>
    <n v="18504"/>
    <x v="0"/>
    <x v="1"/>
    <n v="70000"/>
    <n v="2"/>
    <x v="3"/>
    <s v="Skilled Manual"/>
    <s v="No"/>
    <x v="2"/>
    <x v="3"/>
    <s v="North America"/>
    <n v="49"/>
    <x v="0"/>
    <x v="0"/>
  </r>
  <r>
    <n v="28799"/>
    <x v="1"/>
    <x v="0"/>
    <n v="40000"/>
    <n v="2"/>
    <x v="1"/>
    <s v="Clerical"/>
    <s v="No"/>
    <x v="1"/>
    <x v="3"/>
    <s v="North America"/>
    <n v="47"/>
    <x v="0"/>
    <x v="1"/>
  </r>
  <r>
    <n v="11225"/>
    <x v="0"/>
    <x v="0"/>
    <n v="60000"/>
    <n v="2"/>
    <x v="1"/>
    <s v="Professional"/>
    <s v="Yes"/>
    <x v="1"/>
    <x v="4"/>
    <s v="North America"/>
    <n v="55"/>
    <x v="1"/>
    <x v="0"/>
  </r>
  <r>
    <n v="17657"/>
    <x v="0"/>
    <x v="1"/>
    <n v="40000"/>
    <n v="4"/>
    <x v="1"/>
    <s v="Clerical"/>
    <s v="No"/>
    <x v="0"/>
    <x v="0"/>
    <s v="North America"/>
    <n v="30"/>
    <x v="0"/>
    <x v="0"/>
  </r>
  <r>
    <n v="14913"/>
    <x v="0"/>
    <x v="0"/>
    <n v="40000"/>
    <n v="1"/>
    <x v="1"/>
    <s v="Clerical"/>
    <s v="Yes"/>
    <x v="1"/>
    <x v="3"/>
    <s v="North America"/>
    <n v="48"/>
    <x v="0"/>
    <x v="1"/>
  </r>
  <r>
    <n v="14077"/>
    <x v="1"/>
    <x v="1"/>
    <n v="30000"/>
    <n v="0"/>
    <x v="2"/>
    <s v="Skilled Manual"/>
    <s v="Yes"/>
    <x v="2"/>
    <x v="2"/>
    <s v="North America"/>
    <n v="30"/>
    <x v="0"/>
    <x v="0"/>
  </r>
  <r>
    <n v="13296"/>
    <x v="0"/>
    <x v="1"/>
    <n v="110000"/>
    <n v="1"/>
    <x v="0"/>
    <s v="Management"/>
    <s v="Yes"/>
    <x v="4"/>
    <x v="2"/>
    <s v="North America"/>
    <n v="45"/>
    <x v="0"/>
    <x v="0"/>
  </r>
  <r>
    <n v="20535"/>
    <x v="0"/>
    <x v="0"/>
    <n v="70000"/>
    <n v="4"/>
    <x v="1"/>
    <s v="Professional"/>
    <s v="Yes"/>
    <x v="1"/>
    <x v="4"/>
    <s v="North America"/>
    <n v="56"/>
    <x v="1"/>
    <x v="0"/>
  </r>
  <r>
    <n v="12452"/>
    <x v="0"/>
    <x v="1"/>
    <n v="60000"/>
    <n v="4"/>
    <x v="4"/>
    <s v="Skilled Manual"/>
    <s v="Yes"/>
    <x v="0"/>
    <x v="3"/>
    <s v="North America"/>
    <n v="47"/>
    <x v="0"/>
    <x v="1"/>
  </r>
  <r>
    <n v="28043"/>
    <x v="0"/>
    <x v="0"/>
    <n v="60000"/>
    <n v="2"/>
    <x v="0"/>
    <s v="Management"/>
    <s v="Yes"/>
    <x v="0"/>
    <x v="4"/>
    <s v="North America"/>
    <n v="56"/>
    <x v="1"/>
    <x v="0"/>
  </r>
  <r>
    <n v="12957"/>
    <x v="1"/>
    <x v="0"/>
    <n v="70000"/>
    <n v="1"/>
    <x v="0"/>
    <s v="Professional"/>
    <s v="No"/>
    <x v="1"/>
    <x v="0"/>
    <s v="North America"/>
    <n v="44"/>
    <x v="0"/>
    <x v="0"/>
  </r>
  <r>
    <n v="15412"/>
    <x v="0"/>
    <x v="1"/>
    <n v="130000"/>
    <n v="2"/>
    <x v="4"/>
    <s v="Management"/>
    <s v="Yes"/>
    <x v="4"/>
    <x v="1"/>
    <s v="North America"/>
    <n v="69"/>
    <x v="1"/>
    <x v="0"/>
  </r>
  <r>
    <n v="20514"/>
    <x v="0"/>
    <x v="0"/>
    <n v="70000"/>
    <n v="2"/>
    <x v="1"/>
    <s v="Professional"/>
    <s v="Yes"/>
    <x v="1"/>
    <x v="1"/>
    <s v="North America"/>
    <n v="59"/>
    <x v="1"/>
    <x v="0"/>
  </r>
  <r>
    <n v="20758"/>
    <x v="0"/>
    <x v="1"/>
    <n v="30000"/>
    <n v="2"/>
    <x v="2"/>
    <s v="Skilled Manual"/>
    <s v="Yes"/>
    <x v="2"/>
    <x v="3"/>
    <s v="North America"/>
    <n v="50"/>
    <x v="1"/>
    <x v="0"/>
  </r>
  <r>
    <n v="11801"/>
    <x v="0"/>
    <x v="1"/>
    <n v="60000"/>
    <n v="1"/>
    <x v="4"/>
    <s v="Professional"/>
    <s v="Yes"/>
    <x v="0"/>
    <x v="1"/>
    <s v="North America"/>
    <n v="36"/>
    <x v="0"/>
    <x v="0"/>
  </r>
  <r>
    <n v="22211"/>
    <x v="0"/>
    <x v="1"/>
    <n v="60000"/>
    <n v="0"/>
    <x v="1"/>
    <s v="Professional"/>
    <s v="Yes"/>
    <x v="2"/>
    <x v="2"/>
    <s v="North America"/>
    <n v="32"/>
    <x v="0"/>
    <x v="0"/>
  </r>
  <r>
    <n v="28087"/>
    <x v="1"/>
    <x v="0"/>
    <n v="40000"/>
    <n v="0"/>
    <x v="1"/>
    <s v="Skilled Manual"/>
    <s v="No"/>
    <x v="1"/>
    <x v="3"/>
    <s v="North America"/>
    <n v="27"/>
    <x v="2"/>
    <x v="0"/>
  </r>
  <r>
    <n v="23668"/>
    <x v="0"/>
    <x v="0"/>
    <n v="40000"/>
    <n v="4"/>
    <x v="2"/>
    <s v="Professional"/>
    <s v="Yes"/>
    <x v="2"/>
    <x v="2"/>
    <s v="North America"/>
    <n v="59"/>
    <x v="1"/>
    <x v="1"/>
  </r>
  <r>
    <n v="27441"/>
    <x v="0"/>
    <x v="1"/>
    <n v="60000"/>
    <n v="3"/>
    <x v="2"/>
    <s v="Professional"/>
    <s v="No"/>
    <x v="2"/>
    <x v="1"/>
    <s v="North America"/>
    <n v="53"/>
    <x v="1"/>
    <x v="0"/>
  </r>
  <r>
    <n v="27261"/>
    <x v="0"/>
    <x v="1"/>
    <n v="40000"/>
    <n v="1"/>
    <x v="0"/>
    <s v="Skilled Manual"/>
    <s v="No"/>
    <x v="1"/>
    <x v="0"/>
    <s v="North America"/>
    <n v="36"/>
    <x v="0"/>
    <x v="1"/>
  </r>
  <r>
    <n v="18649"/>
    <x v="1"/>
    <x v="1"/>
    <n v="30000"/>
    <n v="1"/>
    <x v="2"/>
    <s v="Clerical"/>
    <s v="Yes"/>
    <x v="2"/>
    <x v="3"/>
    <s v="North America"/>
    <n v="51"/>
    <x v="1"/>
    <x v="1"/>
  </r>
  <r>
    <n v="21714"/>
    <x v="1"/>
    <x v="0"/>
    <n v="80000"/>
    <n v="5"/>
    <x v="4"/>
    <s v="Skilled Manual"/>
    <s v="No"/>
    <x v="0"/>
    <x v="0"/>
    <s v="North America"/>
    <n v="47"/>
    <x v="0"/>
    <x v="0"/>
  </r>
  <r>
    <n v="23217"/>
    <x v="1"/>
    <x v="0"/>
    <n v="60000"/>
    <n v="3"/>
    <x v="4"/>
    <s v="Professional"/>
    <s v="Yes"/>
    <x v="0"/>
    <x v="1"/>
    <s v="North America"/>
    <n v="43"/>
    <x v="0"/>
    <x v="1"/>
  </r>
  <r>
    <n v="23797"/>
    <x v="1"/>
    <x v="1"/>
    <n v="20000"/>
    <n v="3"/>
    <x v="3"/>
    <s v="Clerical"/>
    <s v="No"/>
    <x v="2"/>
    <x v="0"/>
    <s v="North America"/>
    <n v="50"/>
    <x v="1"/>
    <x v="0"/>
  </r>
  <r>
    <n v="13216"/>
    <x v="0"/>
    <x v="0"/>
    <n v="60000"/>
    <n v="5"/>
    <x v="0"/>
    <s v="Management"/>
    <s v="Yes"/>
    <x v="4"/>
    <x v="4"/>
    <s v="North America"/>
    <n v="59"/>
    <x v="1"/>
    <x v="0"/>
  </r>
  <r>
    <n v="20657"/>
    <x v="1"/>
    <x v="1"/>
    <n v="50000"/>
    <n v="2"/>
    <x v="0"/>
    <s v="Skilled Manual"/>
    <s v="Yes"/>
    <x v="0"/>
    <x v="1"/>
    <s v="North America"/>
    <n v="37"/>
    <x v="0"/>
    <x v="1"/>
  </r>
  <r>
    <n v="12882"/>
    <x v="0"/>
    <x v="1"/>
    <n v="50000"/>
    <n v="1"/>
    <x v="4"/>
    <s v="Skilled Manual"/>
    <s v="Yes"/>
    <x v="0"/>
    <x v="0"/>
    <s v="North America"/>
    <n v="33"/>
    <x v="0"/>
    <x v="1"/>
  </r>
  <r>
    <n v="25908"/>
    <x v="0"/>
    <x v="0"/>
    <n v="60000"/>
    <n v="0"/>
    <x v="1"/>
    <s v="Skilled Manual"/>
    <s v="No"/>
    <x v="1"/>
    <x v="3"/>
    <s v="North America"/>
    <n v="27"/>
    <x v="2"/>
    <x v="0"/>
  </r>
  <r>
    <n v="16753"/>
    <x v="1"/>
    <x v="0"/>
    <n v="70000"/>
    <n v="0"/>
    <x v="1"/>
    <s v="Skilled Manual"/>
    <s v="Yes"/>
    <x v="2"/>
    <x v="2"/>
    <s v="North America"/>
    <n v="34"/>
    <x v="0"/>
    <x v="1"/>
  </r>
  <r>
    <n v="14608"/>
    <x v="0"/>
    <x v="1"/>
    <n v="50000"/>
    <n v="4"/>
    <x v="0"/>
    <s v="Skilled Manual"/>
    <s v="Yes"/>
    <x v="4"/>
    <x v="4"/>
    <s v="North America"/>
    <n v="42"/>
    <x v="0"/>
    <x v="0"/>
  </r>
  <r>
    <n v="24979"/>
    <x v="0"/>
    <x v="0"/>
    <n v="60000"/>
    <n v="2"/>
    <x v="1"/>
    <s v="Professional"/>
    <s v="Yes"/>
    <x v="2"/>
    <x v="1"/>
    <s v="North America"/>
    <n v="57"/>
    <x v="1"/>
    <x v="1"/>
  </r>
  <r>
    <n v="13313"/>
    <x v="0"/>
    <x v="0"/>
    <n v="120000"/>
    <n v="1"/>
    <x v="2"/>
    <s v="Professional"/>
    <s v="No"/>
    <x v="3"/>
    <x v="1"/>
    <s v="North America"/>
    <n v="45"/>
    <x v="0"/>
    <x v="0"/>
  </r>
  <r>
    <n v="18952"/>
    <x v="0"/>
    <x v="0"/>
    <n v="100000"/>
    <n v="4"/>
    <x v="0"/>
    <s v="Management"/>
    <s v="Yes"/>
    <x v="3"/>
    <x v="0"/>
    <s v="North America"/>
    <n v="40"/>
    <x v="0"/>
    <x v="0"/>
  </r>
  <r>
    <n v="17699"/>
    <x v="0"/>
    <x v="1"/>
    <n v="60000"/>
    <n v="1"/>
    <x v="4"/>
    <s v="Skilled Manual"/>
    <s v="No"/>
    <x v="0"/>
    <x v="0"/>
    <s v="North America"/>
    <n v="55"/>
    <x v="1"/>
    <x v="0"/>
  </r>
  <r>
    <n v="14657"/>
    <x v="0"/>
    <x v="1"/>
    <n v="80000"/>
    <n v="1"/>
    <x v="1"/>
    <s v="Skilled Manual"/>
    <s v="No"/>
    <x v="1"/>
    <x v="0"/>
    <s v="North America"/>
    <n v="47"/>
    <x v="0"/>
    <x v="1"/>
  </r>
  <r>
    <n v="11540"/>
    <x v="1"/>
    <x v="1"/>
    <n v="60000"/>
    <n v="4"/>
    <x v="4"/>
    <s v="Skilled Manual"/>
    <s v="Yes"/>
    <x v="0"/>
    <x v="3"/>
    <s v="North America"/>
    <n v="47"/>
    <x v="0"/>
    <x v="1"/>
  </r>
  <r>
    <n v="11783"/>
    <x v="0"/>
    <x v="0"/>
    <n v="60000"/>
    <n v="1"/>
    <x v="4"/>
    <s v="Skilled Manual"/>
    <s v="Yes"/>
    <x v="0"/>
    <x v="0"/>
    <s v="North America"/>
    <n v="34"/>
    <x v="0"/>
    <x v="0"/>
  </r>
  <r>
    <n v="14602"/>
    <x v="0"/>
    <x v="0"/>
    <n v="80000"/>
    <n v="3"/>
    <x v="4"/>
    <s v="Professional"/>
    <s v="Yes"/>
    <x v="0"/>
    <x v="0"/>
    <s v="North America"/>
    <n v="36"/>
    <x v="0"/>
    <x v="1"/>
  </r>
  <r>
    <n v="29030"/>
    <x v="0"/>
    <x v="1"/>
    <n v="70000"/>
    <n v="2"/>
    <x v="3"/>
    <s v="Skilled Manual"/>
    <s v="Yes"/>
    <x v="2"/>
    <x v="4"/>
    <s v="North America"/>
    <n v="54"/>
    <x v="1"/>
    <x v="0"/>
  </r>
  <r>
    <n v="26490"/>
    <x v="1"/>
    <x v="1"/>
    <n v="70000"/>
    <n v="2"/>
    <x v="0"/>
    <s v="Management"/>
    <s v="No"/>
    <x v="1"/>
    <x v="1"/>
    <s v="North America"/>
    <n v="59"/>
    <x v="1"/>
    <x v="1"/>
  </r>
  <r>
    <n v="13151"/>
    <x v="1"/>
    <x v="1"/>
    <n v="40000"/>
    <n v="0"/>
    <x v="2"/>
    <s v="Skilled Manual"/>
    <s v="Yes"/>
    <x v="2"/>
    <x v="2"/>
    <s v="North America"/>
    <n v="27"/>
    <x v="2"/>
    <x v="0"/>
  </r>
  <r>
    <n v="17260"/>
    <x v="0"/>
    <x v="1"/>
    <n v="90000"/>
    <n v="5"/>
    <x v="1"/>
    <s v="Professional"/>
    <s v="Yes"/>
    <x v="4"/>
    <x v="0"/>
    <s v="North America"/>
    <n v="41"/>
    <x v="0"/>
    <x v="0"/>
  </r>
  <r>
    <n v="15372"/>
    <x v="0"/>
    <x v="1"/>
    <n v="80000"/>
    <n v="3"/>
    <x v="1"/>
    <s v="Professional"/>
    <s v="No"/>
    <x v="2"/>
    <x v="1"/>
    <s v="North America"/>
    <n v="50"/>
    <x v="1"/>
    <x v="1"/>
  </r>
  <r>
    <n v="18105"/>
    <x v="0"/>
    <x v="0"/>
    <n v="60000"/>
    <n v="2"/>
    <x v="1"/>
    <s v="Professional"/>
    <s v="Yes"/>
    <x v="1"/>
    <x v="4"/>
    <s v="North America"/>
    <n v="55"/>
    <x v="1"/>
    <x v="0"/>
  </r>
  <r>
    <n v="19660"/>
    <x v="0"/>
    <x v="1"/>
    <n v="80000"/>
    <n v="4"/>
    <x v="0"/>
    <s v="Management"/>
    <s v="Yes"/>
    <x v="0"/>
    <x v="0"/>
    <s v="North America"/>
    <n v="43"/>
    <x v="0"/>
    <x v="0"/>
  </r>
  <r>
    <n v="16112"/>
    <x v="1"/>
    <x v="1"/>
    <n v="70000"/>
    <n v="4"/>
    <x v="0"/>
    <s v="Professional"/>
    <s v="Yes"/>
    <x v="2"/>
    <x v="1"/>
    <s v="North America"/>
    <n v="43"/>
    <x v="0"/>
    <x v="1"/>
  </r>
  <r>
    <n v="20698"/>
    <x v="0"/>
    <x v="1"/>
    <n v="60000"/>
    <n v="4"/>
    <x v="0"/>
    <s v="Skilled Manual"/>
    <s v="Yes"/>
    <x v="4"/>
    <x v="2"/>
    <s v="North America"/>
    <n v="42"/>
    <x v="0"/>
    <x v="0"/>
  </r>
  <r>
    <n v="20076"/>
    <x v="1"/>
    <x v="0"/>
    <n v="10000"/>
    <n v="2"/>
    <x v="2"/>
    <s v="Manual"/>
    <s v="Yes"/>
    <x v="2"/>
    <x v="3"/>
    <s v="North America"/>
    <n v="53"/>
    <x v="1"/>
    <x v="1"/>
  </r>
  <r>
    <n v="24496"/>
    <x v="1"/>
    <x v="0"/>
    <n v="40000"/>
    <n v="0"/>
    <x v="2"/>
    <s v="Skilled Manual"/>
    <s v="No"/>
    <x v="2"/>
    <x v="0"/>
    <s v="North America"/>
    <n v="28"/>
    <x v="2"/>
    <x v="1"/>
  </r>
  <r>
    <n v="15468"/>
    <x v="0"/>
    <x v="0"/>
    <n v="50000"/>
    <n v="1"/>
    <x v="0"/>
    <s v="Skilled Manual"/>
    <s v="Yes"/>
    <x v="1"/>
    <x v="0"/>
    <s v="North America"/>
    <n v="35"/>
    <x v="0"/>
    <x v="0"/>
  </r>
  <r>
    <n v="28031"/>
    <x v="1"/>
    <x v="0"/>
    <n v="70000"/>
    <n v="2"/>
    <x v="0"/>
    <s v="Management"/>
    <s v="No"/>
    <x v="1"/>
    <x v="1"/>
    <s v="North America"/>
    <n v="59"/>
    <x v="1"/>
    <x v="1"/>
  </r>
  <r>
    <n v="26270"/>
    <x v="1"/>
    <x v="0"/>
    <n v="20000"/>
    <n v="2"/>
    <x v="3"/>
    <s v="Clerical"/>
    <s v="Yes"/>
    <x v="2"/>
    <x v="3"/>
    <s v="North America"/>
    <n v="49"/>
    <x v="0"/>
    <x v="0"/>
  </r>
  <r>
    <n v="22221"/>
    <x v="0"/>
    <x v="1"/>
    <n v="60000"/>
    <n v="2"/>
    <x v="2"/>
    <s v="Professional"/>
    <s v="No"/>
    <x v="2"/>
    <x v="3"/>
    <s v="North America"/>
    <n v="48"/>
    <x v="0"/>
    <x v="1"/>
  </r>
  <r>
    <n v="28228"/>
    <x v="1"/>
    <x v="0"/>
    <n v="80000"/>
    <n v="2"/>
    <x v="3"/>
    <s v="Skilled Manual"/>
    <s v="No"/>
    <x v="2"/>
    <x v="3"/>
    <s v="North America"/>
    <n v="50"/>
    <x v="1"/>
    <x v="0"/>
  </r>
  <r>
    <n v="18363"/>
    <x v="0"/>
    <x v="1"/>
    <n v="40000"/>
    <n v="0"/>
    <x v="2"/>
    <s v="Skilled Manual"/>
    <s v="Yes"/>
    <x v="2"/>
    <x v="2"/>
    <s v="North America"/>
    <n v="28"/>
    <x v="2"/>
    <x v="1"/>
  </r>
  <r>
    <n v="23256"/>
    <x v="1"/>
    <x v="1"/>
    <n v="30000"/>
    <n v="1"/>
    <x v="2"/>
    <s v="Clerical"/>
    <s v="No"/>
    <x v="1"/>
    <x v="2"/>
    <s v="North America"/>
    <n v="52"/>
    <x v="1"/>
    <x v="0"/>
  </r>
  <r>
    <n v="12768"/>
    <x v="0"/>
    <x v="1"/>
    <n v="30000"/>
    <n v="1"/>
    <x v="2"/>
    <s v="Clerical"/>
    <s v="Yes"/>
    <x v="1"/>
    <x v="1"/>
    <s v="North America"/>
    <n v="52"/>
    <x v="1"/>
    <x v="1"/>
  </r>
  <r>
    <n v="20361"/>
    <x v="0"/>
    <x v="1"/>
    <n v="50000"/>
    <n v="2"/>
    <x v="4"/>
    <s v="Management"/>
    <s v="Yes"/>
    <x v="2"/>
    <x v="2"/>
    <s v="North America"/>
    <n v="69"/>
    <x v="1"/>
    <x v="0"/>
  </r>
  <r>
    <n v="21306"/>
    <x v="1"/>
    <x v="1"/>
    <n v="60000"/>
    <n v="2"/>
    <x v="2"/>
    <s v="Professional"/>
    <s v="Yes"/>
    <x v="2"/>
    <x v="2"/>
    <s v="North America"/>
    <n v="51"/>
    <x v="1"/>
    <x v="0"/>
  </r>
  <r>
    <n v="13382"/>
    <x v="0"/>
    <x v="1"/>
    <n v="70000"/>
    <n v="5"/>
    <x v="1"/>
    <s v="Professional"/>
    <s v="Yes"/>
    <x v="2"/>
    <x v="3"/>
    <s v="North America"/>
    <n v="57"/>
    <x v="1"/>
    <x v="1"/>
  </r>
  <r>
    <n v="20310"/>
    <x v="1"/>
    <x v="1"/>
    <n v="60000"/>
    <n v="0"/>
    <x v="1"/>
    <s v="Skilled Manual"/>
    <s v="Yes"/>
    <x v="1"/>
    <x v="2"/>
    <s v="North America"/>
    <n v="27"/>
    <x v="2"/>
    <x v="1"/>
  </r>
  <r>
    <n v="22971"/>
    <x v="1"/>
    <x v="0"/>
    <n v="30000"/>
    <n v="0"/>
    <x v="2"/>
    <s v="Skilled Manual"/>
    <s v="No"/>
    <x v="2"/>
    <x v="0"/>
    <s v="North America"/>
    <n v="25"/>
    <x v="2"/>
    <x v="1"/>
  </r>
  <r>
    <n v="15287"/>
    <x v="1"/>
    <x v="0"/>
    <n v="50000"/>
    <n v="1"/>
    <x v="4"/>
    <s v="Skilled Manual"/>
    <s v="Yes"/>
    <x v="0"/>
    <x v="3"/>
    <s v="North America"/>
    <n v="33"/>
    <x v="0"/>
    <x v="1"/>
  </r>
  <r>
    <n v="15532"/>
    <x v="1"/>
    <x v="1"/>
    <n v="60000"/>
    <n v="4"/>
    <x v="0"/>
    <s v="Professional"/>
    <s v="Yes"/>
    <x v="2"/>
    <x v="1"/>
    <s v="North America"/>
    <n v="43"/>
    <x v="0"/>
    <x v="1"/>
  </r>
  <r>
    <n v="11255"/>
    <x v="0"/>
    <x v="1"/>
    <n v="70000"/>
    <n v="4"/>
    <x v="4"/>
    <s v="Management"/>
    <s v="Yes"/>
    <x v="2"/>
    <x v="2"/>
    <s v="North America"/>
    <n v="73"/>
    <x v="1"/>
    <x v="0"/>
  </r>
  <r>
    <n v="28090"/>
    <x v="0"/>
    <x v="1"/>
    <n v="40000"/>
    <n v="0"/>
    <x v="1"/>
    <s v="Skilled Manual"/>
    <s v="Yes"/>
    <x v="1"/>
    <x v="2"/>
    <s v="North America"/>
    <n v="27"/>
    <x v="2"/>
    <x v="0"/>
  </r>
  <r>
    <n v="15255"/>
    <x v="0"/>
    <x v="1"/>
    <n v="40000"/>
    <n v="0"/>
    <x v="2"/>
    <s v="Skilled Manual"/>
    <s v="Yes"/>
    <x v="2"/>
    <x v="2"/>
    <s v="North America"/>
    <n v="28"/>
    <x v="2"/>
    <x v="1"/>
  </r>
  <r>
    <n v="13154"/>
    <x v="0"/>
    <x v="1"/>
    <n v="40000"/>
    <n v="0"/>
    <x v="2"/>
    <s v="Skilled Manual"/>
    <s v="No"/>
    <x v="2"/>
    <x v="0"/>
    <s v="North America"/>
    <n v="27"/>
    <x v="2"/>
    <x v="1"/>
  </r>
  <r>
    <n v="26778"/>
    <x v="1"/>
    <x v="0"/>
    <n v="40000"/>
    <n v="0"/>
    <x v="2"/>
    <s v="Skilled Manual"/>
    <s v="Yes"/>
    <x v="2"/>
    <x v="2"/>
    <s v="North America"/>
    <n v="31"/>
    <x v="0"/>
    <x v="0"/>
  </r>
  <r>
    <n v="23248"/>
    <x v="0"/>
    <x v="0"/>
    <n v="10000"/>
    <n v="2"/>
    <x v="2"/>
    <s v="Manual"/>
    <s v="Yes"/>
    <x v="2"/>
    <x v="3"/>
    <s v="North America"/>
    <n v="53"/>
    <x v="1"/>
    <x v="0"/>
  </r>
  <r>
    <n v="21417"/>
    <x v="1"/>
    <x v="0"/>
    <n v="60000"/>
    <n v="0"/>
    <x v="1"/>
    <s v="Professional"/>
    <s v="No"/>
    <x v="2"/>
    <x v="3"/>
    <s v="North America"/>
    <n v="32"/>
    <x v="0"/>
    <x v="1"/>
  </r>
  <r>
    <n v="17668"/>
    <x v="1"/>
    <x v="1"/>
    <n v="30000"/>
    <n v="2"/>
    <x v="2"/>
    <s v="Skilled Manual"/>
    <s v="Yes"/>
    <x v="2"/>
    <x v="3"/>
    <s v="North America"/>
    <n v="50"/>
    <x v="1"/>
    <x v="1"/>
  </r>
  <r>
    <n v="27994"/>
    <x v="0"/>
    <x v="0"/>
    <n v="40000"/>
    <n v="4"/>
    <x v="2"/>
    <s v="Professional"/>
    <s v="Yes"/>
    <x v="2"/>
    <x v="2"/>
    <s v="North America"/>
    <n v="69"/>
    <x v="1"/>
    <x v="0"/>
  </r>
  <r>
    <n v="20376"/>
    <x v="1"/>
    <x v="0"/>
    <n v="70000"/>
    <n v="3"/>
    <x v="4"/>
    <s v="Management"/>
    <s v="Yes"/>
    <x v="2"/>
    <x v="2"/>
    <s v="North America"/>
    <n v="52"/>
    <x v="1"/>
    <x v="1"/>
  </r>
  <r>
    <n v="25954"/>
    <x v="0"/>
    <x v="1"/>
    <n v="60000"/>
    <n v="0"/>
    <x v="1"/>
    <s v="Skilled Manual"/>
    <s v="No"/>
    <x v="2"/>
    <x v="3"/>
    <s v="North America"/>
    <n v="31"/>
    <x v="0"/>
    <x v="0"/>
  </r>
  <r>
    <n v="15749"/>
    <x v="1"/>
    <x v="0"/>
    <n v="70000"/>
    <n v="4"/>
    <x v="0"/>
    <s v="Management"/>
    <s v="Yes"/>
    <x v="2"/>
    <x v="4"/>
    <s v="North America"/>
    <n v="61"/>
    <x v="1"/>
    <x v="0"/>
  </r>
  <r>
    <n v="25899"/>
    <x v="0"/>
    <x v="0"/>
    <n v="70000"/>
    <n v="2"/>
    <x v="2"/>
    <s v="Professional"/>
    <s v="Yes"/>
    <x v="2"/>
    <x v="4"/>
    <s v="North America"/>
    <n v="53"/>
    <x v="1"/>
    <x v="0"/>
  </r>
  <r>
    <n v="13351"/>
    <x v="1"/>
    <x v="0"/>
    <n v="70000"/>
    <n v="4"/>
    <x v="0"/>
    <s v="Management"/>
    <s v="Yes"/>
    <x v="2"/>
    <x v="3"/>
    <s v="North America"/>
    <n v="62"/>
    <x v="1"/>
    <x v="1"/>
  </r>
  <r>
    <n v="23333"/>
    <x v="0"/>
    <x v="1"/>
    <n v="40000"/>
    <n v="0"/>
    <x v="1"/>
    <s v="Skilled Manual"/>
    <s v="No"/>
    <x v="2"/>
    <x v="3"/>
    <s v="North America"/>
    <n v="30"/>
    <x v="0"/>
    <x v="0"/>
  </r>
  <r>
    <n v="21660"/>
    <x v="0"/>
    <x v="0"/>
    <n v="60000"/>
    <n v="3"/>
    <x v="4"/>
    <s v="Professional"/>
    <s v="Yes"/>
    <x v="0"/>
    <x v="1"/>
    <s v="North America"/>
    <n v="43"/>
    <x v="0"/>
    <x v="1"/>
  </r>
  <r>
    <n v="17012"/>
    <x v="0"/>
    <x v="0"/>
    <n v="60000"/>
    <n v="3"/>
    <x v="4"/>
    <s v="Professional"/>
    <s v="Yes"/>
    <x v="0"/>
    <x v="1"/>
    <s v="North America"/>
    <n v="42"/>
    <x v="0"/>
    <x v="1"/>
  </r>
  <r>
    <n v="24514"/>
    <x v="0"/>
    <x v="1"/>
    <n v="40000"/>
    <n v="0"/>
    <x v="1"/>
    <s v="Skilled Manual"/>
    <s v="Yes"/>
    <x v="1"/>
    <x v="2"/>
    <s v="North America"/>
    <n v="30"/>
    <x v="0"/>
    <x v="0"/>
  </r>
  <r>
    <n v="27505"/>
    <x v="1"/>
    <x v="0"/>
    <n v="40000"/>
    <n v="0"/>
    <x v="2"/>
    <s v="Skilled Manual"/>
    <s v="Yes"/>
    <x v="2"/>
    <x v="2"/>
    <s v="North America"/>
    <n v="30"/>
    <x v="0"/>
    <x v="0"/>
  </r>
  <r>
    <n v="29243"/>
    <x v="1"/>
    <x v="1"/>
    <n v="110000"/>
    <n v="1"/>
    <x v="0"/>
    <s v="Management"/>
    <s v="Yes"/>
    <x v="1"/>
    <x v="2"/>
    <s v="North America"/>
    <n v="43"/>
    <x v="0"/>
    <x v="0"/>
  </r>
  <r>
    <n v="26582"/>
    <x v="0"/>
    <x v="1"/>
    <n v="60000"/>
    <n v="0"/>
    <x v="1"/>
    <s v="Skilled Manual"/>
    <s v="Yes"/>
    <x v="2"/>
    <x v="2"/>
    <s v="North America"/>
    <n v="33"/>
    <x v="0"/>
    <x v="1"/>
  </r>
  <r>
    <n v="14271"/>
    <x v="0"/>
    <x v="1"/>
    <n v="30000"/>
    <n v="0"/>
    <x v="2"/>
    <s v="Skilled Manual"/>
    <s v="Yes"/>
    <x v="2"/>
    <x v="2"/>
    <s v="North America"/>
    <n v="32"/>
    <x v="0"/>
    <x v="0"/>
  </r>
  <r>
    <n v="23041"/>
    <x v="1"/>
    <x v="0"/>
    <n v="70000"/>
    <n v="4"/>
    <x v="2"/>
    <s v="Professional"/>
    <s v="Yes"/>
    <x v="0"/>
    <x v="2"/>
    <s v="North America"/>
    <n v="50"/>
    <x v="1"/>
    <x v="1"/>
  </r>
  <r>
    <n v="29048"/>
    <x v="1"/>
    <x v="1"/>
    <n v="110000"/>
    <n v="2"/>
    <x v="0"/>
    <s v="Management"/>
    <s v="No"/>
    <x v="4"/>
    <x v="0"/>
    <s v="North America"/>
    <n v="37"/>
    <x v="0"/>
    <x v="1"/>
  </r>
  <r>
    <n v="24433"/>
    <x v="0"/>
    <x v="1"/>
    <n v="70000"/>
    <n v="3"/>
    <x v="2"/>
    <s v="Professional"/>
    <s v="No"/>
    <x v="1"/>
    <x v="3"/>
    <s v="North America"/>
    <n v="52"/>
    <x v="1"/>
    <x v="1"/>
  </r>
  <r>
    <n v="15501"/>
    <x v="0"/>
    <x v="1"/>
    <n v="70000"/>
    <n v="4"/>
    <x v="4"/>
    <s v="Professional"/>
    <s v="Yes"/>
    <x v="0"/>
    <x v="1"/>
    <s v="North America"/>
    <n v="36"/>
    <x v="0"/>
    <x v="1"/>
  </r>
  <r>
    <n v="13911"/>
    <x v="1"/>
    <x v="0"/>
    <n v="80000"/>
    <n v="3"/>
    <x v="0"/>
    <s v="Skilled Manual"/>
    <s v="Yes"/>
    <x v="2"/>
    <x v="1"/>
    <s v="North America"/>
    <n v="41"/>
    <x v="0"/>
    <x v="1"/>
  </r>
  <r>
    <n v="20421"/>
    <x v="1"/>
    <x v="0"/>
    <n v="40000"/>
    <n v="0"/>
    <x v="3"/>
    <s v="Clerical"/>
    <s v="Yes"/>
    <x v="2"/>
    <x v="2"/>
    <s v="North America"/>
    <n v="26"/>
    <x v="2"/>
    <x v="0"/>
  </r>
  <r>
    <n v="16009"/>
    <x v="1"/>
    <x v="1"/>
    <n v="170000"/>
    <n v="1"/>
    <x v="4"/>
    <s v="Management"/>
    <s v="No"/>
    <x v="3"/>
    <x v="0"/>
    <s v="North America"/>
    <n v="66"/>
    <x v="1"/>
    <x v="0"/>
  </r>
  <r>
    <n v="18411"/>
    <x v="0"/>
    <x v="1"/>
    <n v="60000"/>
    <n v="2"/>
    <x v="2"/>
    <s v="Professional"/>
    <s v="No"/>
    <x v="2"/>
    <x v="2"/>
    <s v="North America"/>
    <n v="51"/>
    <x v="1"/>
    <x v="0"/>
  </r>
  <r>
    <n v="19163"/>
    <x v="0"/>
    <x v="0"/>
    <n v="70000"/>
    <n v="4"/>
    <x v="0"/>
    <s v="Professional"/>
    <s v="Yes"/>
    <x v="2"/>
    <x v="0"/>
    <s v="North America"/>
    <n v="43"/>
    <x v="0"/>
    <x v="1"/>
  </r>
  <r>
    <n v="18572"/>
    <x v="0"/>
    <x v="0"/>
    <n v="60000"/>
    <n v="0"/>
    <x v="4"/>
    <s v="Professional"/>
    <s v="Yes"/>
    <x v="0"/>
    <x v="0"/>
    <s v="North America"/>
    <n v="39"/>
    <x v="0"/>
    <x v="0"/>
  </r>
  <r>
    <n v="27540"/>
    <x v="1"/>
    <x v="0"/>
    <n v="70000"/>
    <n v="0"/>
    <x v="0"/>
    <s v="Professional"/>
    <s v="No"/>
    <x v="1"/>
    <x v="0"/>
    <s v="North America"/>
    <n v="37"/>
    <x v="0"/>
    <x v="1"/>
  </r>
  <r>
    <n v="19889"/>
    <x v="1"/>
    <x v="0"/>
    <n v="70000"/>
    <n v="2"/>
    <x v="3"/>
    <s v="Skilled Manual"/>
    <s v="No"/>
    <x v="2"/>
    <x v="1"/>
    <s v="North America"/>
    <n v="54"/>
    <x v="1"/>
    <x v="1"/>
  </r>
  <r>
    <n v="12922"/>
    <x v="1"/>
    <x v="0"/>
    <n v="60000"/>
    <n v="3"/>
    <x v="0"/>
    <s v="Skilled Manual"/>
    <s v="Yes"/>
    <x v="0"/>
    <x v="1"/>
    <s v="North America"/>
    <n v="40"/>
    <x v="0"/>
    <x v="1"/>
  </r>
  <r>
    <n v="18891"/>
    <x v="0"/>
    <x v="0"/>
    <n v="40000"/>
    <n v="0"/>
    <x v="1"/>
    <s v="Skilled Manual"/>
    <s v="Yes"/>
    <x v="2"/>
    <x v="2"/>
    <s v="North America"/>
    <n v="28"/>
    <x v="2"/>
    <x v="0"/>
  </r>
  <r>
    <n v="16773"/>
    <x v="0"/>
    <x v="1"/>
    <n v="60000"/>
    <n v="1"/>
    <x v="4"/>
    <s v="Skilled Manual"/>
    <s v="Yes"/>
    <x v="0"/>
    <x v="0"/>
    <s v="North America"/>
    <n v="33"/>
    <x v="0"/>
    <x v="0"/>
  </r>
  <r>
    <n v="19143"/>
    <x v="1"/>
    <x v="0"/>
    <n v="80000"/>
    <n v="3"/>
    <x v="0"/>
    <s v="Skilled Manual"/>
    <s v="Yes"/>
    <x v="2"/>
    <x v="1"/>
    <s v="North America"/>
    <n v="41"/>
    <x v="0"/>
    <x v="1"/>
  </r>
  <r>
    <n v="23882"/>
    <x v="1"/>
    <x v="0"/>
    <n v="80000"/>
    <n v="3"/>
    <x v="4"/>
    <s v="Professional"/>
    <s v="Yes"/>
    <x v="0"/>
    <x v="0"/>
    <s v="North America"/>
    <n v="37"/>
    <x v="0"/>
    <x v="1"/>
  </r>
  <r>
    <n v="11233"/>
    <x v="0"/>
    <x v="1"/>
    <n v="70000"/>
    <n v="4"/>
    <x v="1"/>
    <s v="Professional"/>
    <s v="Yes"/>
    <x v="2"/>
    <x v="4"/>
    <s v="North America"/>
    <n v="53"/>
    <x v="1"/>
    <x v="0"/>
  </r>
  <r>
    <n v="12056"/>
    <x v="0"/>
    <x v="1"/>
    <n v="120000"/>
    <n v="2"/>
    <x v="4"/>
    <s v="Management"/>
    <s v="Yes"/>
    <x v="4"/>
    <x v="2"/>
    <s v="North America"/>
    <n v="64"/>
    <x v="1"/>
    <x v="0"/>
  </r>
  <r>
    <n v="15555"/>
    <x v="0"/>
    <x v="0"/>
    <n v="60000"/>
    <n v="1"/>
    <x v="1"/>
    <s v="Skilled Manual"/>
    <s v="Yes"/>
    <x v="1"/>
    <x v="1"/>
    <s v="North America"/>
    <n v="45"/>
    <x v="0"/>
    <x v="1"/>
  </r>
  <r>
    <n v="18423"/>
    <x v="1"/>
    <x v="1"/>
    <n v="80000"/>
    <n v="2"/>
    <x v="3"/>
    <s v="Skilled Manual"/>
    <s v="No"/>
    <x v="2"/>
    <x v="3"/>
    <s v="North America"/>
    <n v="52"/>
    <x v="1"/>
    <x v="0"/>
  </r>
  <r>
    <n v="22743"/>
    <x v="0"/>
    <x v="0"/>
    <n v="40000"/>
    <n v="5"/>
    <x v="2"/>
    <s v="Professional"/>
    <s v="Yes"/>
    <x v="2"/>
    <x v="4"/>
    <s v="North America"/>
    <n v="60"/>
    <x v="1"/>
    <x v="0"/>
  </r>
  <r>
    <n v="25343"/>
    <x v="1"/>
    <x v="0"/>
    <n v="20000"/>
    <n v="3"/>
    <x v="3"/>
    <s v="Clerical"/>
    <s v="Yes"/>
    <x v="2"/>
    <x v="3"/>
    <s v="North America"/>
    <n v="50"/>
    <x v="1"/>
    <x v="0"/>
  </r>
  <r>
    <n v="13390"/>
    <x v="0"/>
    <x v="0"/>
    <n v="70000"/>
    <n v="4"/>
    <x v="1"/>
    <s v="Professional"/>
    <s v="No"/>
    <x v="1"/>
    <x v="3"/>
    <s v="North America"/>
    <n v="56"/>
    <x v="1"/>
    <x v="0"/>
  </r>
  <r>
    <n v="17482"/>
    <x v="1"/>
    <x v="0"/>
    <n v="40000"/>
    <n v="0"/>
    <x v="3"/>
    <s v="Clerical"/>
    <s v="Yes"/>
    <x v="2"/>
    <x v="2"/>
    <s v="North America"/>
    <n v="29"/>
    <x v="2"/>
    <x v="0"/>
  </r>
  <r>
    <n v="13176"/>
    <x v="1"/>
    <x v="1"/>
    <n v="130000"/>
    <n v="0"/>
    <x v="4"/>
    <s v="Management"/>
    <s v="No"/>
    <x v="2"/>
    <x v="0"/>
    <s v="North America"/>
    <n v="38"/>
    <x v="0"/>
    <x v="1"/>
  </r>
  <r>
    <n v="20504"/>
    <x v="0"/>
    <x v="0"/>
    <n v="40000"/>
    <n v="5"/>
    <x v="2"/>
    <s v="Professional"/>
    <s v="No"/>
    <x v="2"/>
    <x v="1"/>
    <s v="North America"/>
    <n v="60"/>
    <x v="1"/>
    <x v="0"/>
  </r>
  <r>
    <n v="12205"/>
    <x v="1"/>
    <x v="0"/>
    <n v="130000"/>
    <n v="2"/>
    <x v="0"/>
    <s v="Management"/>
    <s v="No"/>
    <x v="3"/>
    <x v="0"/>
    <s v="North America"/>
    <n v="67"/>
    <x v="1"/>
    <x v="0"/>
  </r>
  <r>
    <n v="16751"/>
    <x v="0"/>
    <x v="1"/>
    <n v="60000"/>
    <n v="0"/>
    <x v="1"/>
    <s v="Skilled Manual"/>
    <s v="Yes"/>
    <x v="1"/>
    <x v="2"/>
    <s v="North America"/>
    <n v="32"/>
    <x v="0"/>
    <x v="1"/>
  </r>
  <r>
    <n v="21613"/>
    <x v="1"/>
    <x v="1"/>
    <n v="50000"/>
    <n v="2"/>
    <x v="0"/>
    <s v="Skilled Manual"/>
    <s v="No"/>
    <x v="1"/>
    <x v="0"/>
    <s v="North America"/>
    <n v="39"/>
    <x v="0"/>
    <x v="1"/>
  </r>
  <r>
    <n v="24801"/>
    <x v="1"/>
    <x v="1"/>
    <n v="60000"/>
    <n v="1"/>
    <x v="4"/>
    <s v="Professional"/>
    <s v="Yes"/>
    <x v="0"/>
    <x v="1"/>
    <s v="North America"/>
    <n v="35"/>
    <x v="0"/>
    <x v="1"/>
  </r>
  <r>
    <n v="17519"/>
    <x v="0"/>
    <x v="0"/>
    <n v="60000"/>
    <n v="0"/>
    <x v="1"/>
    <s v="Professional"/>
    <s v="Yes"/>
    <x v="2"/>
    <x v="2"/>
    <s v="North America"/>
    <n v="32"/>
    <x v="0"/>
    <x v="0"/>
  </r>
  <r>
    <n v="18347"/>
    <x v="1"/>
    <x v="0"/>
    <n v="30000"/>
    <n v="0"/>
    <x v="1"/>
    <s v="Skilled Manual"/>
    <s v="No"/>
    <x v="1"/>
    <x v="3"/>
    <s v="North America"/>
    <n v="31"/>
    <x v="0"/>
    <x v="0"/>
  </r>
  <r>
    <n v="29052"/>
    <x v="1"/>
    <x v="1"/>
    <n v="40000"/>
    <n v="0"/>
    <x v="1"/>
    <s v="Skilled Manual"/>
    <s v="Yes"/>
    <x v="1"/>
    <x v="2"/>
    <s v="North America"/>
    <n v="27"/>
    <x v="2"/>
    <x v="0"/>
  </r>
  <r>
    <n v="11745"/>
    <x v="0"/>
    <x v="0"/>
    <n v="60000"/>
    <n v="1"/>
    <x v="0"/>
    <s v="Professional"/>
    <s v="Yes"/>
    <x v="1"/>
    <x v="0"/>
    <s v="North America"/>
    <n v="47"/>
    <x v="0"/>
    <x v="1"/>
  </r>
  <r>
    <n v="19147"/>
    <x v="0"/>
    <x v="1"/>
    <n v="40000"/>
    <n v="0"/>
    <x v="0"/>
    <s v="Professional"/>
    <s v="No"/>
    <x v="1"/>
    <x v="0"/>
    <s v="North America"/>
    <n v="42"/>
    <x v="0"/>
    <x v="0"/>
  </r>
  <r>
    <n v="19217"/>
    <x v="0"/>
    <x v="1"/>
    <n v="30000"/>
    <n v="2"/>
    <x v="2"/>
    <s v="Skilled Manual"/>
    <s v="Yes"/>
    <x v="2"/>
    <x v="3"/>
    <s v="North America"/>
    <n v="49"/>
    <x v="0"/>
    <x v="0"/>
  </r>
  <r>
    <n v="15839"/>
    <x v="1"/>
    <x v="1"/>
    <n v="30000"/>
    <n v="0"/>
    <x v="1"/>
    <s v="Skilled Manual"/>
    <s v="Yes"/>
    <x v="1"/>
    <x v="2"/>
    <s v="North America"/>
    <n v="32"/>
    <x v="0"/>
    <x v="0"/>
  </r>
  <r>
    <n v="13714"/>
    <x v="0"/>
    <x v="0"/>
    <n v="20000"/>
    <n v="2"/>
    <x v="2"/>
    <s v="Manual"/>
    <s v="No"/>
    <x v="2"/>
    <x v="3"/>
    <s v="North America"/>
    <n v="53"/>
    <x v="1"/>
    <x v="1"/>
  </r>
  <r>
    <n v="22330"/>
    <x v="0"/>
    <x v="1"/>
    <n v="50000"/>
    <n v="0"/>
    <x v="4"/>
    <s v="Skilled Manual"/>
    <s v="Yes"/>
    <x v="0"/>
    <x v="3"/>
    <s v="North America"/>
    <n v="32"/>
    <x v="0"/>
    <x v="1"/>
  </r>
  <r>
    <n v="18783"/>
    <x v="1"/>
    <x v="1"/>
    <n v="80000"/>
    <n v="0"/>
    <x v="0"/>
    <s v="Management"/>
    <s v="No"/>
    <x v="1"/>
    <x v="0"/>
    <s v="North America"/>
    <n v="38"/>
    <x v="0"/>
    <x v="1"/>
  </r>
  <r>
    <n v="25041"/>
    <x v="1"/>
    <x v="1"/>
    <n v="40000"/>
    <n v="0"/>
    <x v="2"/>
    <s v="Skilled Manual"/>
    <s v="Yes"/>
    <x v="2"/>
    <x v="2"/>
    <s v="North America"/>
    <n v="31"/>
    <x v="0"/>
    <x v="0"/>
  </r>
  <r>
    <n v="22046"/>
    <x v="1"/>
    <x v="0"/>
    <n v="80000"/>
    <n v="0"/>
    <x v="0"/>
    <s v="Management"/>
    <s v="No"/>
    <x v="1"/>
    <x v="0"/>
    <s v="North America"/>
    <n v="38"/>
    <x v="0"/>
    <x v="1"/>
  </r>
  <r>
    <n v="28052"/>
    <x v="0"/>
    <x v="1"/>
    <n v="60000"/>
    <n v="2"/>
    <x v="2"/>
    <s v="Professional"/>
    <s v="Yes"/>
    <x v="2"/>
    <x v="4"/>
    <s v="North America"/>
    <n v="55"/>
    <x v="1"/>
    <x v="0"/>
  </r>
  <r>
    <n v="26693"/>
    <x v="0"/>
    <x v="1"/>
    <n v="70000"/>
    <n v="3"/>
    <x v="1"/>
    <s v="Professional"/>
    <s v="Yes"/>
    <x v="1"/>
    <x v="2"/>
    <s v="North America"/>
    <n v="49"/>
    <x v="0"/>
    <x v="0"/>
  </r>
  <r>
    <n v="24955"/>
    <x v="1"/>
    <x v="1"/>
    <n v="30000"/>
    <n v="5"/>
    <x v="3"/>
    <s v="Skilled Manual"/>
    <s v="Yes"/>
    <x v="4"/>
    <x v="4"/>
    <s v="North America"/>
    <n v="60"/>
    <x v="1"/>
    <x v="1"/>
  </r>
  <r>
    <n v="26065"/>
    <x v="1"/>
    <x v="0"/>
    <n v="110000"/>
    <n v="3"/>
    <x v="0"/>
    <s v="Management"/>
    <s v="No"/>
    <x v="3"/>
    <x v="3"/>
    <s v="North America"/>
    <n v="42"/>
    <x v="0"/>
    <x v="0"/>
  </r>
  <r>
    <n v="13942"/>
    <x v="0"/>
    <x v="1"/>
    <n v="60000"/>
    <n v="1"/>
    <x v="1"/>
    <s v="Skilled Manual"/>
    <s v="Yes"/>
    <x v="1"/>
    <x v="0"/>
    <s v="North America"/>
    <n v="46"/>
    <x v="0"/>
    <x v="0"/>
  </r>
  <r>
    <n v="11219"/>
    <x v="0"/>
    <x v="1"/>
    <n v="60000"/>
    <n v="2"/>
    <x v="2"/>
    <s v="Professional"/>
    <s v="Yes"/>
    <x v="2"/>
    <x v="4"/>
    <s v="North America"/>
    <n v="55"/>
    <x v="1"/>
    <x v="0"/>
  </r>
  <r>
    <n v="22118"/>
    <x v="1"/>
    <x v="0"/>
    <n v="70000"/>
    <n v="3"/>
    <x v="4"/>
    <s v="Management"/>
    <s v="Yes"/>
    <x v="2"/>
    <x v="2"/>
    <s v="North America"/>
    <n v="53"/>
    <x v="1"/>
    <x v="1"/>
  </r>
  <r>
    <n v="23197"/>
    <x v="0"/>
    <x v="1"/>
    <n v="50000"/>
    <n v="3"/>
    <x v="0"/>
    <s v="Skilled Manual"/>
    <s v="Yes"/>
    <x v="2"/>
    <x v="1"/>
    <s v="North America"/>
    <n v="40"/>
    <x v="0"/>
    <x v="0"/>
  </r>
  <r>
    <n v="14883"/>
    <x v="0"/>
    <x v="0"/>
    <n v="30000"/>
    <n v="1"/>
    <x v="0"/>
    <s v="Skilled Manual"/>
    <s v="Yes"/>
    <x v="1"/>
    <x v="2"/>
    <s v="North America"/>
    <n v="53"/>
    <x v="1"/>
    <x v="1"/>
  </r>
  <r>
    <n v="27279"/>
    <x v="1"/>
    <x v="0"/>
    <n v="70000"/>
    <n v="2"/>
    <x v="0"/>
    <s v="Skilled Manual"/>
    <s v="Yes"/>
    <x v="0"/>
    <x v="1"/>
    <s v="North America"/>
    <n v="38"/>
    <x v="0"/>
    <x v="1"/>
  </r>
  <r>
    <n v="18322"/>
    <x v="1"/>
    <x v="1"/>
    <n v="30000"/>
    <n v="0"/>
    <x v="3"/>
    <s v="Clerical"/>
    <s v="No"/>
    <x v="2"/>
    <x v="0"/>
    <s v="North America"/>
    <n v="26"/>
    <x v="2"/>
    <x v="0"/>
  </r>
  <r>
    <n v="15879"/>
    <x v="0"/>
    <x v="1"/>
    <n v="70000"/>
    <n v="5"/>
    <x v="0"/>
    <s v="Management"/>
    <s v="Yes"/>
    <x v="2"/>
    <x v="1"/>
    <s v="North America"/>
    <n v="61"/>
    <x v="1"/>
    <x v="0"/>
  </r>
  <r>
    <n v="28278"/>
    <x v="0"/>
    <x v="1"/>
    <n v="50000"/>
    <n v="2"/>
    <x v="4"/>
    <s v="Management"/>
    <s v="Yes"/>
    <x v="2"/>
    <x v="2"/>
    <s v="North America"/>
    <n v="71"/>
    <x v="1"/>
    <x v="0"/>
  </r>
  <r>
    <n v="24416"/>
    <x v="0"/>
    <x v="1"/>
    <n v="90000"/>
    <n v="4"/>
    <x v="2"/>
    <s v="Professional"/>
    <s v="Yes"/>
    <x v="2"/>
    <x v="3"/>
    <s v="North America"/>
    <n v="45"/>
    <x v="0"/>
    <x v="0"/>
  </r>
  <r>
    <n v="28066"/>
    <x v="0"/>
    <x v="1"/>
    <n v="80000"/>
    <n v="2"/>
    <x v="4"/>
    <s v="Professional"/>
    <s v="Yes"/>
    <x v="0"/>
    <x v="0"/>
    <s v="North America"/>
    <n v="37"/>
    <x v="0"/>
    <x v="1"/>
  </r>
  <r>
    <n v="11275"/>
    <x v="0"/>
    <x v="0"/>
    <n v="80000"/>
    <n v="4"/>
    <x v="4"/>
    <s v="Management"/>
    <s v="Yes"/>
    <x v="2"/>
    <x v="0"/>
    <s v="North America"/>
    <n v="72"/>
    <x v="1"/>
    <x v="1"/>
  </r>
  <r>
    <n v="14872"/>
    <x v="0"/>
    <x v="1"/>
    <n v="30000"/>
    <n v="0"/>
    <x v="4"/>
    <s v="Skilled Manual"/>
    <s v="Yes"/>
    <x v="0"/>
    <x v="0"/>
    <s v="North America"/>
    <n v="32"/>
    <x v="0"/>
    <x v="0"/>
  </r>
  <r>
    <n v="16151"/>
    <x v="0"/>
    <x v="0"/>
    <n v="60000"/>
    <n v="1"/>
    <x v="0"/>
    <s v="Professional"/>
    <s v="Yes"/>
    <x v="1"/>
    <x v="1"/>
    <s v="North America"/>
    <n v="48"/>
    <x v="0"/>
    <x v="1"/>
  </r>
  <r>
    <n v="19731"/>
    <x v="0"/>
    <x v="1"/>
    <n v="80000"/>
    <n v="4"/>
    <x v="4"/>
    <s v="Management"/>
    <s v="Yes"/>
    <x v="2"/>
    <x v="2"/>
    <s v="North America"/>
    <n v="68"/>
    <x v="1"/>
    <x v="0"/>
  </r>
  <r>
    <n v="23801"/>
    <x v="0"/>
    <x v="0"/>
    <n v="20000"/>
    <n v="2"/>
    <x v="3"/>
    <s v="Clerical"/>
    <s v="Yes"/>
    <x v="2"/>
    <x v="0"/>
    <s v="North America"/>
    <n v="49"/>
    <x v="0"/>
    <x v="0"/>
  </r>
  <r>
    <n v="11807"/>
    <x v="0"/>
    <x v="1"/>
    <n v="70000"/>
    <n v="3"/>
    <x v="4"/>
    <s v="Professional"/>
    <s v="Yes"/>
    <x v="0"/>
    <x v="1"/>
    <s v="North America"/>
    <n v="34"/>
    <x v="0"/>
    <x v="0"/>
  </r>
  <r>
    <n v="11622"/>
    <x v="0"/>
    <x v="1"/>
    <n v="50000"/>
    <n v="0"/>
    <x v="4"/>
    <s v="Skilled Manual"/>
    <s v="Yes"/>
    <x v="0"/>
    <x v="0"/>
    <s v="North America"/>
    <n v="32"/>
    <x v="0"/>
    <x v="0"/>
  </r>
  <r>
    <n v="26597"/>
    <x v="1"/>
    <x v="0"/>
    <n v="60000"/>
    <n v="4"/>
    <x v="0"/>
    <s v="Skilled Manual"/>
    <s v="No"/>
    <x v="2"/>
    <x v="0"/>
    <s v="North America"/>
    <n v="42"/>
    <x v="0"/>
    <x v="0"/>
  </r>
  <r>
    <n v="27074"/>
    <x v="0"/>
    <x v="0"/>
    <n v="70000"/>
    <n v="1"/>
    <x v="4"/>
    <s v="Skilled Manual"/>
    <s v="Yes"/>
    <x v="0"/>
    <x v="0"/>
    <s v="North America"/>
    <n v="35"/>
    <x v="0"/>
    <x v="1"/>
  </r>
  <r>
    <n v="19228"/>
    <x v="0"/>
    <x v="0"/>
    <n v="40000"/>
    <n v="2"/>
    <x v="1"/>
    <s v="Clerical"/>
    <s v="Yes"/>
    <x v="1"/>
    <x v="0"/>
    <s v="North America"/>
    <n v="48"/>
    <x v="0"/>
    <x v="0"/>
  </r>
  <r>
    <n v="13415"/>
    <x v="1"/>
    <x v="1"/>
    <n v="100000"/>
    <n v="1"/>
    <x v="4"/>
    <s v="Management"/>
    <s v="Yes"/>
    <x v="4"/>
    <x v="1"/>
    <s v="North America"/>
    <n v="73"/>
    <x v="1"/>
    <x v="1"/>
  </r>
  <r>
    <n v="17000"/>
    <x v="1"/>
    <x v="0"/>
    <n v="70000"/>
    <n v="4"/>
    <x v="0"/>
    <s v="Skilled Manual"/>
    <s v="Yes"/>
    <x v="2"/>
    <x v="1"/>
    <s v="North America"/>
    <n v="43"/>
    <x v="0"/>
    <x v="1"/>
  </r>
  <r>
    <n v="14569"/>
    <x v="0"/>
    <x v="1"/>
    <n v="60000"/>
    <n v="1"/>
    <x v="4"/>
    <s v="Professional"/>
    <s v="Yes"/>
    <x v="0"/>
    <x v="0"/>
    <s v="North America"/>
    <n v="35"/>
    <x v="0"/>
    <x v="0"/>
  </r>
  <r>
    <n v="13873"/>
    <x v="0"/>
    <x v="1"/>
    <n v="70000"/>
    <n v="3"/>
    <x v="4"/>
    <s v="Professional"/>
    <s v="Yes"/>
    <x v="0"/>
    <x v="0"/>
    <s v="North America"/>
    <n v="35"/>
    <x v="0"/>
    <x v="1"/>
  </r>
  <r>
    <n v="20401"/>
    <x v="0"/>
    <x v="0"/>
    <n v="50000"/>
    <n v="4"/>
    <x v="0"/>
    <s v="Management"/>
    <s v="Yes"/>
    <x v="2"/>
    <x v="3"/>
    <s v="North America"/>
    <n v="64"/>
    <x v="1"/>
    <x v="1"/>
  </r>
  <r>
    <n v="21583"/>
    <x v="0"/>
    <x v="0"/>
    <n v="50000"/>
    <n v="1"/>
    <x v="0"/>
    <s v="Skilled Manual"/>
    <s v="Yes"/>
    <x v="0"/>
    <x v="0"/>
    <s v="North America"/>
    <n v="34"/>
    <x v="0"/>
    <x v="1"/>
  </r>
  <r>
    <n v="12029"/>
    <x v="0"/>
    <x v="1"/>
    <n v="30000"/>
    <n v="0"/>
    <x v="3"/>
    <s v="Clerical"/>
    <s v="No"/>
    <x v="2"/>
    <x v="0"/>
    <s v="North America"/>
    <n v="28"/>
    <x v="2"/>
    <x v="0"/>
  </r>
  <r>
    <n v="18066"/>
    <x v="1"/>
    <x v="1"/>
    <n v="70000"/>
    <n v="5"/>
    <x v="0"/>
    <s v="Management"/>
    <s v="Yes"/>
    <x v="4"/>
    <x v="4"/>
    <s v="North America"/>
    <n v="60"/>
    <x v="1"/>
    <x v="1"/>
  </r>
  <r>
    <n v="28192"/>
    <x v="0"/>
    <x v="0"/>
    <n v="70000"/>
    <n v="5"/>
    <x v="4"/>
    <s v="Professional"/>
    <s v="Yes"/>
    <x v="4"/>
    <x v="4"/>
    <s v="North America"/>
    <n v="46"/>
    <x v="0"/>
    <x v="0"/>
  </r>
  <r>
    <n v="16122"/>
    <x v="0"/>
    <x v="1"/>
    <n v="40000"/>
    <n v="4"/>
    <x v="2"/>
    <s v="Skilled Manual"/>
    <s v="Yes"/>
    <x v="2"/>
    <x v="0"/>
    <s v="North America"/>
    <n v="44"/>
    <x v="0"/>
    <x v="1"/>
  </r>
  <r>
    <n v="18607"/>
    <x v="1"/>
    <x v="0"/>
    <n v="60000"/>
    <n v="4"/>
    <x v="0"/>
    <s v="Skilled Manual"/>
    <s v="Yes"/>
    <x v="2"/>
    <x v="1"/>
    <s v="North America"/>
    <n v="42"/>
    <x v="0"/>
    <x v="1"/>
  </r>
  <r>
    <n v="28858"/>
    <x v="1"/>
    <x v="1"/>
    <n v="80000"/>
    <n v="3"/>
    <x v="0"/>
    <s v="Skilled Manual"/>
    <s v="Yes"/>
    <x v="0"/>
    <x v="1"/>
    <s v="North America"/>
    <n v="40"/>
    <x v="0"/>
    <x v="0"/>
  </r>
  <r>
    <n v="14432"/>
    <x v="1"/>
    <x v="1"/>
    <n v="90000"/>
    <n v="4"/>
    <x v="4"/>
    <s v="Management"/>
    <s v="Yes"/>
    <x v="1"/>
    <x v="2"/>
    <s v="North America"/>
    <n v="73"/>
    <x v="1"/>
    <x v="0"/>
  </r>
  <r>
    <n v="26305"/>
    <x v="1"/>
    <x v="0"/>
    <n v="60000"/>
    <n v="2"/>
    <x v="0"/>
    <s v="Skilled Manual"/>
    <s v="No"/>
    <x v="0"/>
    <x v="0"/>
    <s v="North America"/>
    <n v="36"/>
    <x v="0"/>
    <x v="1"/>
  </r>
  <r>
    <n v="22050"/>
    <x v="1"/>
    <x v="1"/>
    <n v="90000"/>
    <n v="4"/>
    <x v="0"/>
    <s v="Management"/>
    <s v="Yes"/>
    <x v="1"/>
    <x v="3"/>
    <s v="North America"/>
    <n v="38"/>
    <x v="0"/>
    <x v="1"/>
  </r>
  <r>
    <n v="25394"/>
    <x v="0"/>
    <x v="1"/>
    <n v="60000"/>
    <n v="1"/>
    <x v="4"/>
    <s v="Professional"/>
    <s v="Yes"/>
    <x v="0"/>
    <x v="1"/>
    <s v="North America"/>
    <n v="34"/>
    <x v="0"/>
    <x v="1"/>
  </r>
  <r>
    <n v="19747"/>
    <x v="0"/>
    <x v="1"/>
    <n v="50000"/>
    <n v="4"/>
    <x v="0"/>
    <s v="Management"/>
    <s v="Yes"/>
    <x v="2"/>
    <x v="4"/>
    <s v="North America"/>
    <n v="63"/>
    <x v="1"/>
    <x v="0"/>
  </r>
  <r>
    <n v="23195"/>
    <x v="1"/>
    <x v="1"/>
    <n v="50000"/>
    <n v="3"/>
    <x v="0"/>
    <s v="Skilled Manual"/>
    <s v="Yes"/>
    <x v="2"/>
    <x v="1"/>
    <s v="North America"/>
    <n v="41"/>
    <x v="0"/>
    <x v="1"/>
  </r>
  <r>
    <n v="21695"/>
    <x v="0"/>
    <x v="1"/>
    <n v="60000"/>
    <n v="0"/>
    <x v="4"/>
    <s v="Skilled Manual"/>
    <s v="Yes"/>
    <x v="0"/>
    <x v="3"/>
    <s v="North America"/>
    <n v="39"/>
    <x v="0"/>
    <x v="1"/>
  </r>
  <r>
    <n v="13934"/>
    <x v="0"/>
    <x v="1"/>
    <n v="40000"/>
    <n v="4"/>
    <x v="2"/>
    <s v="Skilled Manual"/>
    <s v="Yes"/>
    <x v="2"/>
    <x v="1"/>
    <s v="North America"/>
    <n v="46"/>
    <x v="0"/>
    <x v="0"/>
  </r>
  <r>
    <n v="13337"/>
    <x v="0"/>
    <x v="0"/>
    <n v="80000"/>
    <n v="5"/>
    <x v="0"/>
    <s v="Management"/>
    <s v="Yes"/>
    <x v="2"/>
    <x v="2"/>
    <s v="North America"/>
    <n v="64"/>
    <x v="1"/>
    <x v="0"/>
  </r>
  <r>
    <n v="27190"/>
    <x v="0"/>
    <x v="0"/>
    <n v="40000"/>
    <n v="3"/>
    <x v="1"/>
    <s v="Clerical"/>
    <s v="Yes"/>
    <x v="1"/>
    <x v="3"/>
    <s v="North America"/>
    <n v="32"/>
    <x v="0"/>
    <x v="0"/>
  </r>
  <r>
    <n v="28657"/>
    <x v="1"/>
    <x v="1"/>
    <n v="60000"/>
    <n v="2"/>
    <x v="0"/>
    <s v="Skilled Manual"/>
    <s v="Yes"/>
    <x v="0"/>
    <x v="1"/>
    <s v="North America"/>
    <n v="36"/>
    <x v="0"/>
    <x v="1"/>
  </r>
  <r>
    <n v="21713"/>
    <x v="1"/>
    <x v="1"/>
    <n v="80000"/>
    <n v="5"/>
    <x v="4"/>
    <s v="Skilled Manual"/>
    <s v="No"/>
    <x v="0"/>
    <x v="0"/>
    <s v="North America"/>
    <n v="47"/>
    <x v="0"/>
    <x v="0"/>
  </r>
  <r>
    <n v="21752"/>
    <x v="0"/>
    <x v="1"/>
    <n v="60000"/>
    <n v="3"/>
    <x v="4"/>
    <s v="Management"/>
    <s v="Yes"/>
    <x v="2"/>
    <x v="4"/>
    <s v="North America"/>
    <n v="64"/>
    <x v="1"/>
    <x v="0"/>
  </r>
  <r>
    <n v="27273"/>
    <x v="1"/>
    <x v="1"/>
    <n v="70000"/>
    <n v="3"/>
    <x v="4"/>
    <s v="Professional"/>
    <s v="No"/>
    <x v="0"/>
    <x v="0"/>
    <s v="North America"/>
    <n v="35"/>
    <x v="0"/>
    <x v="1"/>
  </r>
  <r>
    <n v="22719"/>
    <x v="1"/>
    <x v="1"/>
    <n v="110000"/>
    <n v="3"/>
    <x v="0"/>
    <s v="Management"/>
    <s v="Yes"/>
    <x v="3"/>
    <x v="1"/>
    <s v="North America"/>
    <n v="40"/>
    <x v="0"/>
    <x v="1"/>
  </r>
  <r>
    <n v="22042"/>
    <x v="0"/>
    <x v="0"/>
    <n v="70000"/>
    <n v="0"/>
    <x v="1"/>
    <s v="Skilled Manual"/>
    <s v="Yes"/>
    <x v="2"/>
    <x v="2"/>
    <s v="North America"/>
    <n v="34"/>
    <x v="0"/>
    <x v="1"/>
  </r>
  <r>
    <n v="21451"/>
    <x v="0"/>
    <x v="0"/>
    <n v="40000"/>
    <n v="4"/>
    <x v="2"/>
    <s v="Professional"/>
    <s v="Yes"/>
    <x v="2"/>
    <x v="4"/>
    <s v="North America"/>
    <n v="61"/>
    <x v="1"/>
    <x v="0"/>
  </r>
  <r>
    <n v="20754"/>
    <x v="0"/>
    <x v="1"/>
    <n v="30000"/>
    <n v="2"/>
    <x v="2"/>
    <s v="Skilled Manual"/>
    <s v="Yes"/>
    <x v="2"/>
    <x v="3"/>
    <s v="North America"/>
    <n v="51"/>
    <x v="1"/>
    <x v="0"/>
  </r>
  <r>
    <n v="12153"/>
    <x v="1"/>
    <x v="0"/>
    <n v="70000"/>
    <n v="3"/>
    <x v="1"/>
    <s v="Professional"/>
    <s v="Yes"/>
    <x v="1"/>
    <x v="2"/>
    <s v="North America"/>
    <n v="49"/>
    <x v="0"/>
    <x v="1"/>
  </r>
  <r>
    <n v="16895"/>
    <x v="0"/>
    <x v="0"/>
    <n v="40000"/>
    <n v="3"/>
    <x v="1"/>
    <s v="Professional"/>
    <s v="No"/>
    <x v="2"/>
    <x v="3"/>
    <s v="North America"/>
    <n v="54"/>
    <x v="1"/>
    <x v="1"/>
  </r>
  <r>
    <n v="26728"/>
    <x v="1"/>
    <x v="1"/>
    <n v="70000"/>
    <n v="3"/>
    <x v="4"/>
    <s v="Management"/>
    <s v="No"/>
    <x v="2"/>
    <x v="3"/>
    <s v="North America"/>
    <n v="53"/>
    <x v="1"/>
    <x v="1"/>
  </r>
  <r>
    <n v="11090"/>
    <x v="1"/>
    <x v="1"/>
    <n v="90000"/>
    <n v="2"/>
    <x v="1"/>
    <s v="Professional"/>
    <s v="Yes"/>
    <x v="1"/>
    <x v="1"/>
    <s v="North America"/>
    <n v="48"/>
    <x v="0"/>
    <x v="1"/>
  </r>
  <r>
    <n v="15862"/>
    <x v="1"/>
    <x v="0"/>
    <n v="50000"/>
    <n v="0"/>
    <x v="4"/>
    <s v="Skilled Manual"/>
    <s v="Yes"/>
    <x v="0"/>
    <x v="3"/>
    <s v="North America"/>
    <n v="33"/>
    <x v="0"/>
    <x v="1"/>
  </r>
  <r>
    <n v="26495"/>
    <x v="1"/>
    <x v="0"/>
    <n v="40000"/>
    <n v="2"/>
    <x v="2"/>
    <s v="Professional"/>
    <s v="Yes"/>
    <x v="2"/>
    <x v="4"/>
    <s v="North America"/>
    <n v="57"/>
    <x v="1"/>
    <x v="0"/>
  </r>
  <r>
    <n v="11823"/>
    <x v="0"/>
    <x v="0"/>
    <n v="70000"/>
    <n v="0"/>
    <x v="4"/>
    <s v="Professional"/>
    <s v="Yes"/>
    <x v="0"/>
    <x v="1"/>
    <s v="North America"/>
    <n v="39"/>
    <x v="0"/>
    <x v="0"/>
  </r>
  <r>
    <n v="23449"/>
    <x v="0"/>
    <x v="1"/>
    <n v="60000"/>
    <n v="2"/>
    <x v="2"/>
    <s v="Professional"/>
    <s v="Yes"/>
    <x v="2"/>
    <x v="2"/>
    <s v="North America"/>
    <n v="48"/>
    <x v="0"/>
    <x v="0"/>
  </r>
  <r>
    <n v="23459"/>
    <x v="0"/>
    <x v="1"/>
    <n v="60000"/>
    <n v="2"/>
    <x v="2"/>
    <s v="Professional"/>
    <s v="Yes"/>
    <x v="2"/>
    <x v="2"/>
    <s v="North America"/>
    <n v="50"/>
    <x v="1"/>
    <x v="0"/>
  </r>
  <r>
    <n v="19543"/>
    <x v="0"/>
    <x v="1"/>
    <n v="70000"/>
    <n v="5"/>
    <x v="4"/>
    <s v="Professional"/>
    <s v="No"/>
    <x v="4"/>
    <x v="4"/>
    <s v="North America"/>
    <n v="47"/>
    <x v="0"/>
    <x v="0"/>
  </r>
  <r>
    <n v="14914"/>
    <x v="0"/>
    <x v="0"/>
    <n v="40000"/>
    <n v="1"/>
    <x v="1"/>
    <s v="Clerical"/>
    <s v="Yes"/>
    <x v="1"/>
    <x v="3"/>
    <s v="North America"/>
    <n v="49"/>
    <x v="0"/>
    <x v="1"/>
  </r>
  <r>
    <n v="12033"/>
    <x v="1"/>
    <x v="0"/>
    <n v="40000"/>
    <n v="0"/>
    <x v="2"/>
    <s v="Skilled Manual"/>
    <s v="No"/>
    <x v="2"/>
    <x v="0"/>
    <s v="North America"/>
    <n v="27"/>
    <x v="2"/>
    <x v="1"/>
  </r>
  <r>
    <n v="11941"/>
    <x v="1"/>
    <x v="1"/>
    <n v="60000"/>
    <n v="0"/>
    <x v="1"/>
    <s v="Skilled Manual"/>
    <s v="Yes"/>
    <x v="0"/>
    <x v="2"/>
    <s v="North America"/>
    <n v="29"/>
    <x v="2"/>
    <x v="0"/>
  </r>
  <r>
    <n v="14389"/>
    <x v="0"/>
    <x v="1"/>
    <n v="60000"/>
    <n v="2"/>
    <x v="0"/>
    <s v="Management"/>
    <s v="Yes"/>
    <x v="0"/>
    <x v="1"/>
    <s v="North America"/>
    <n v="59"/>
    <x v="1"/>
    <x v="0"/>
  </r>
  <r>
    <n v="18050"/>
    <x v="0"/>
    <x v="0"/>
    <n v="60000"/>
    <n v="1"/>
    <x v="1"/>
    <s v="Skilled Manual"/>
    <s v="Yes"/>
    <x v="1"/>
    <x v="0"/>
    <s v="North America"/>
    <n v="45"/>
    <x v="0"/>
    <x v="1"/>
  </r>
  <r>
    <n v="19856"/>
    <x v="0"/>
    <x v="0"/>
    <n v="60000"/>
    <n v="4"/>
    <x v="0"/>
    <s v="Management"/>
    <s v="Yes"/>
    <x v="2"/>
    <x v="1"/>
    <s v="North America"/>
    <n v="60"/>
    <x v="1"/>
    <x v="0"/>
  </r>
  <r>
    <n v="11663"/>
    <x v="0"/>
    <x v="1"/>
    <n v="70000"/>
    <n v="4"/>
    <x v="4"/>
    <s v="Professional"/>
    <s v="Yes"/>
    <x v="0"/>
    <x v="0"/>
    <s v="North America"/>
    <n v="36"/>
    <x v="0"/>
    <x v="1"/>
  </r>
  <r>
    <n v="27740"/>
    <x v="0"/>
    <x v="0"/>
    <n v="40000"/>
    <n v="0"/>
    <x v="2"/>
    <s v="Skilled Manual"/>
    <s v="Yes"/>
    <x v="2"/>
    <x v="2"/>
    <s v="North America"/>
    <n v="27"/>
    <x v="2"/>
    <x v="0"/>
  </r>
  <r>
    <n v="23455"/>
    <x v="1"/>
    <x v="1"/>
    <n v="80000"/>
    <n v="2"/>
    <x v="3"/>
    <s v="Skilled Manual"/>
    <s v="No"/>
    <x v="2"/>
    <x v="3"/>
    <s v="North America"/>
    <n v="50"/>
    <x v="1"/>
    <x v="0"/>
  </r>
  <r>
    <n v="15292"/>
    <x v="1"/>
    <x v="0"/>
    <n v="60000"/>
    <n v="1"/>
    <x v="4"/>
    <s v="Skilled Manual"/>
    <s v="Yes"/>
    <x v="0"/>
    <x v="3"/>
    <s v="North America"/>
    <n v="35"/>
    <x v="0"/>
    <x v="0"/>
  </r>
  <r>
    <n v="21587"/>
    <x v="0"/>
    <x v="0"/>
    <n v="60000"/>
    <n v="1"/>
    <x v="4"/>
    <s v="Skilled Manual"/>
    <s v="Yes"/>
    <x v="0"/>
    <x v="1"/>
    <s v="North America"/>
    <n v="34"/>
    <x v="0"/>
    <x v="1"/>
  </r>
  <r>
    <n v="23513"/>
    <x v="0"/>
    <x v="0"/>
    <n v="40000"/>
    <n v="3"/>
    <x v="1"/>
    <s v="Professional"/>
    <s v="Yes"/>
    <x v="2"/>
    <x v="2"/>
    <s v="North America"/>
    <n v="54"/>
    <x v="1"/>
    <x v="0"/>
  </r>
  <r>
    <n v="24322"/>
    <x v="0"/>
    <x v="0"/>
    <n v="60000"/>
    <n v="4"/>
    <x v="0"/>
    <s v="Skilled Manual"/>
    <s v="No"/>
    <x v="2"/>
    <x v="0"/>
    <s v="North America"/>
    <n v="42"/>
    <x v="0"/>
    <x v="0"/>
  </r>
  <r>
    <n v="26298"/>
    <x v="0"/>
    <x v="0"/>
    <n v="50000"/>
    <n v="1"/>
    <x v="0"/>
    <s v="Skilled Manual"/>
    <s v="Yes"/>
    <x v="0"/>
    <x v="1"/>
    <s v="North America"/>
    <n v="34"/>
    <x v="0"/>
    <x v="1"/>
  </r>
  <r>
    <n v="25419"/>
    <x v="1"/>
    <x v="1"/>
    <n v="50000"/>
    <n v="2"/>
    <x v="0"/>
    <s v="Skilled Manual"/>
    <s v="No"/>
    <x v="1"/>
    <x v="0"/>
    <s v="North America"/>
    <n v="38"/>
    <x v="0"/>
    <x v="1"/>
  </r>
  <r>
    <n v="13343"/>
    <x v="0"/>
    <x v="0"/>
    <n v="90000"/>
    <n v="5"/>
    <x v="0"/>
    <s v="Management"/>
    <s v="Yes"/>
    <x v="2"/>
    <x v="3"/>
    <s v="North America"/>
    <n v="63"/>
    <x v="1"/>
    <x v="1"/>
  </r>
  <r>
    <n v="11303"/>
    <x v="1"/>
    <x v="0"/>
    <n v="90000"/>
    <n v="4"/>
    <x v="2"/>
    <s v="Professional"/>
    <s v="No"/>
    <x v="4"/>
    <x v="3"/>
    <s v="North America"/>
    <n v="45"/>
    <x v="0"/>
    <x v="1"/>
  </r>
  <r>
    <n v="21693"/>
    <x v="1"/>
    <x v="0"/>
    <n v="60000"/>
    <n v="0"/>
    <x v="4"/>
    <s v="Skilled Manual"/>
    <s v="No"/>
    <x v="0"/>
    <x v="0"/>
    <s v="North America"/>
    <n v="40"/>
    <x v="0"/>
    <x v="0"/>
  </r>
  <r>
    <n v="28056"/>
    <x v="0"/>
    <x v="1"/>
    <n v="70000"/>
    <n v="2"/>
    <x v="3"/>
    <s v="Skilled Manual"/>
    <s v="Yes"/>
    <x v="2"/>
    <x v="4"/>
    <s v="North America"/>
    <n v="53"/>
    <x v="1"/>
    <x v="0"/>
  </r>
  <r>
    <n v="11788"/>
    <x v="1"/>
    <x v="0"/>
    <n v="70000"/>
    <n v="1"/>
    <x v="4"/>
    <s v="Professional"/>
    <s v="Yes"/>
    <x v="0"/>
    <x v="1"/>
    <s v="North America"/>
    <n v="34"/>
    <x v="0"/>
    <x v="0"/>
  </r>
  <r>
    <n v="22296"/>
    <x v="0"/>
    <x v="1"/>
    <n v="70000"/>
    <n v="0"/>
    <x v="0"/>
    <s v="Professional"/>
    <s v="No"/>
    <x v="1"/>
    <x v="0"/>
    <s v="North America"/>
    <n v="38"/>
    <x v="0"/>
    <x v="0"/>
  </r>
  <r>
    <n v="15319"/>
    <x v="0"/>
    <x v="0"/>
    <n v="70000"/>
    <n v="4"/>
    <x v="0"/>
    <s v="Management"/>
    <s v="No"/>
    <x v="1"/>
    <x v="3"/>
    <s v="North America"/>
    <n v="59"/>
    <x v="1"/>
    <x v="0"/>
  </r>
  <r>
    <n v="17654"/>
    <x v="1"/>
    <x v="0"/>
    <n v="40000"/>
    <n v="3"/>
    <x v="1"/>
    <s v="Clerical"/>
    <s v="Yes"/>
    <x v="1"/>
    <x v="3"/>
    <s v="North America"/>
    <n v="30"/>
    <x v="0"/>
    <x v="1"/>
  </r>
  <r>
    <n v="14662"/>
    <x v="0"/>
    <x v="1"/>
    <n v="60000"/>
    <n v="1"/>
    <x v="0"/>
    <s v="Professional"/>
    <s v="Yes"/>
    <x v="1"/>
    <x v="0"/>
    <s v="North America"/>
    <n v="48"/>
    <x v="0"/>
    <x v="1"/>
  </r>
  <r>
    <n v="17541"/>
    <x v="0"/>
    <x v="0"/>
    <n v="40000"/>
    <n v="4"/>
    <x v="2"/>
    <s v="Skilled Manual"/>
    <s v="Yes"/>
    <x v="2"/>
    <x v="1"/>
    <s v="North America"/>
    <n v="43"/>
    <x v="0"/>
    <x v="0"/>
  </r>
  <r>
    <n v="13886"/>
    <x v="0"/>
    <x v="0"/>
    <n v="70000"/>
    <n v="4"/>
    <x v="4"/>
    <s v="Professional"/>
    <s v="Yes"/>
    <x v="0"/>
    <x v="1"/>
    <s v="North America"/>
    <n v="35"/>
    <x v="0"/>
    <x v="1"/>
  </r>
  <r>
    <n v="13073"/>
    <x v="0"/>
    <x v="0"/>
    <n v="60000"/>
    <n v="0"/>
    <x v="1"/>
    <s v="Professional"/>
    <s v="Yes"/>
    <x v="2"/>
    <x v="2"/>
    <s v="North America"/>
    <n v="30"/>
    <x v="0"/>
    <x v="0"/>
  </r>
  <r>
    <n v="21940"/>
    <x v="0"/>
    <x v="1"/>
    <n v="90000"/>
    <n v="5"/>
    <x v="4"/>
    <s v="Professional"/>
    <s v="Yes"/>
    <x v="0"/>
    <x v="0"/>
    <s v="North America"/>
    <n v="47"/>
    <x v="0"/>
    <x v="1"/>
  </r>
  <r>
    <n v="20196"/>
    <x v="0"/>
    <x v="1"/>
    <n v="60000"/>
    <n v="1"/>
    <x v="1"/>
    <s v="Skilled Manual"/>
    <s v="Yes"/>
    <x v="1"/>
    <x v="1"/>
    <s v="North America"/>
    <n v="45"/>
    <x v="0"/>
    <x v="1"/>
  </r>
  <r>
    <n v="23491"/>
    <x v="1"/>
    <x v="1"/>
    <n v="100000"/>
    <n v="0"/>
    <x v="1"/>
    <s v="Professional"/>
    <s v="No"/>
    <x v="3"/>
    <x v="3"/>
    <s v="North America"/>
    <n v="45"/>
    <x v="0"/>
    <x v="0"/>
  </r>
  <r>
    <n v="16651"/>
    <x v="0"/>
    <x v="0"/>
    <n v="120000"/>
    <n v="2"/>
    <x v="0"/>
    <s v="Management"/>
    <s v="Yes"/>
    <x v="4"/>
    <x v="2"/>
    <s v="North America"/>
    <n v="62"/>
    <x v="1"/>
    <x v="0"/>
  </r>
  <r>
    <n v="16813"/>
    <x v="0"/>
    <x v="1"/>
    <n v="60000"/>
    <n v="2"/>
    <x v="1"/>
    <s v="Professional"/>
    <s v="Yes"/>
    <x v="2"/>
    <x v="4"/>
    <s v="North America"/>
    <n v="55"/>
    <x v="1"/>
    <x v="0"/>
  </r>
  <r>
    <n v="16007"/>
    <x v="0"/>
    <x v="0"/>
    <n v="90000"/>
    <n v="5"/>
    <x v="0"/>
    <s v="Management"/>
    <s v="Yes"/>
    <x v="2"/>
    <x v="3"/>
    <s v="North America"/>
    <n v="66"/>
    <x v="1"/>
    <x v="1"/>
  </r>
  <r>
    <n v="27434"/>
    <x v="1"/>
    <x v="1"/>
    <n v="70000"/>
    <n v="4"/>
    <x v="1"/>
    <s v="Professional"/>
    <s v="Yes"/>
    <x v="1"/>
    <x v="4"/>
    <s v="North America"/>
    <n v="56"/>
    <x v="1"/>
    <x v="0"/>
  </r>
  <r>
    <n v="27756"/>
    <x v="1"/>
    <x v="0"/>
    <n v="50000"/>
    <n v="3"/>
    <x v="0"/>
    <s v="Skilled Manual"/>
    <s v="No"/>
    <x v="1"/>
    <x v="0"/>
    <s v="North America"/>
    <n v="40"/>
    <x v="0"/>
    <x v="0"/>
  </r>
  <r>
    <n v="23818"/>
    <x v="0"/>
    <x v="0"/>
    <n v="50000"/>
    <n v="0"/>
    <x v="4"/>
    <s v="Skilled Manual"/>
    <s v="Yes"/>
    <x v="0"/>
    <x v="3"/>
    <s v="North America"/>
    <n v="33"/>
    <x v="0"/>
    <x v="1"/>
  </r>
  <r>
    <n v="19012"/>
    <x v="0"/>
    <x v="1"/>
    <n v="80000"/>
    <n v="3"/>
    <x v="0"/>
    <s v="Management"/>
    <s v="Yes"/>
    <x v="1"/>
    <x v="3"/>
    <s v="North America"/>
    <n v="56"/>
    <x v="1"/>
    <x v="0"/>
  </r>
  <r>
    <n v="18329"/>
    <x v="1"/>
    <x v="1"/>
    <n v="30000"/>
    <n v="0"/>
    <x v="3"/>
    <s v="Clerical"/>
    <s v="No"/>
    <x v="2"/>
    <x v="2"/>
    <s v="North America"/>
    <n v="27"/>
    <x v="2"/>
    <x v="0"/>
  </r>
  <r>
    <n v="29037"/>
    <x v="0"/>
    <x v="1"/>
    <n v="60000"/>
    <n v="0"/>
    <x v="4"/>
    <s v="Professional"/>
    <s v="No"/>
    <x v="0"/>
    <x v="0"/>
    <s v="North America"/>
    <n v="39"/>
    <x v="0"/>
    <x v="0"/>
  </r>
  <r>
    <n v="26576"/>
    <x v="0"/>
    <x v="0"/>
    <n v="60000"/>
    <n v="0"/>
    <x v="1"/>
    <s v="Skilled Manual"/>
    <s v="Yes"/>
    <x v="2"/>
    <x v="2"/>
    <s v="North America"/>
    <n v="31"/>
    <x v="0"/>
    <x v="0"/>
  </r>
  <r>
    <n v="12192"/>
    <x v="1"/>
    <x v="0"/>
    <n v="60000"/>
    <n v="2"/>
    <x v="3"/>
    <s v="Skilled Manual"/>
    <s v="No"/>
    <x v="2"/>
    <x v="3"/>
    <s v="North America"/>
    <n v="51"/>
    <x v="1"/>
    <x v="0"/>
  </r>
  <r>
    <n v="14887"/>
    <x v="0"/>
    <x v="0"/>
    <n v="30000"/>
    <n v="1"/>
    <x v="2"/>
    <s v="Clerical"/>
    <s v="Yes"/>
    <x v="1"/>
    <x v="2"/>
    <s v="North America"/>
    <n v="52"/>
    <x v="1"/>
    <x v="0"/>
  </r>
  <r>
    <n v="11734"/>
    <x v="0"/>
    <x v="1"/>
    <n v="60000"/>
    <n v="1"/>
    <x v="1"/>
    <s v="Skilled Manual"/>
    <s v="No"/>
    <x v="1"/>
    <x v="0"/>
    <s v="North America"/>
    <n v="47"/>
    <x v="0"/>
    <x v="0"/>
  </r>
  <r>
    <n v="17462"/>
    <x v="0"/>
    <x v="1"/>
    <n v="70000"/>
    <n v="3"/>
    <x v="4"/>
    <s v="Management"/>
    <s v="Yes"/>
    <x v="2"/>
    <x v="2"/>
    <s v="North America"/>
    <n v="53"/>
    <x v="1"/>
    <x v="1"/>
  </r>
  <r>
    <n v="20659"/>
    <x v="0"/>
    <x v="1"/>
    <n v="70000"/>
    <n v="3"/>
    <x v="4"/>
    <s v="Professional"/>
    <s v="Yes"/>
    <x v="0"/>
    <x v="0"/>
    <s v="North America"/>
    <n v="35"/>
    <x v="0"/>
    <x v="1"/>
  </r>
  <r>
    <n v="28004"/>
    <x v="0"/>
    <x v="0"/>
    <n v="60000"/>
    <n v="3"/>
    <x v="0"/>
    <s v="Management"/>
    <s v="Yes"/>
    <x v="2"/>
    <x v="4"/>
    <s v="North America"/>
    <n v="66"/>
    <x v="1"/>
    <x v="0"/>
  </r>
  <r>
    <n v="19741"/>
    <x v="1"/>
    <x v="0"/>
    <n v="80000"/>
    <n v="4"/>
    <x v="4"/>
    <s v="Management"/>
    <s v="Yes"/>
    <x v="2"/>
    <x v="2"/>
    <s v="North America"/>
    <n v="65"/>
    <x v="1"/>
    <x v="0"/>
  </r>
  <r>
    <n v="17450"/>
    <x v="0"/>
    <x v="1"/>
    <n v="80000"/>
    <n v="5"/>
    <x v="1"/>
    <s v="Professional"/>
    <s v="Yes"/>
    <x v="4"/>
    <x v="2"/>
    <s v="North America"/>
    <n v="45"/>
    <x v="0"/>
    <x v="0"/>
  </r>
  <r>
    <n v="17337"/>
    <x v="1"/>
    <x v="1"/>
    <n v="40000"/>
    <n v="0"/>
    <x v="2"/>
    <s v="Skilled Manual"/>
    <s v="Yes"/>
    <x v="1"/>
    <x v="2"/>
    <s v="North America"/>
    <n v="31"/>
    <x v="0"/>
    <x v="0"/>
  </r>
  <r>
    <n v="18594"/>
    <x v="1"/>
    <x v="0"/>
    <n v="80000"/>
    <n v="3"/>
    <x v="0"/>
    <s v="Skilled Manual"/>
    <s v="Yes"/>
    <x v="4"/>
    <x v="4"/>
    <s v="North America"/>
    <n v="40"/>
    <x v="0"/>
    <x v="1"/>
  </r>
  <r>
    <n v="15982"/>
    <x v="0"/>
    <x v="1"/>
    <n v="110000"/>
    <n v="5"/>
    <x v="1"/>
    <s v="Professional"/>
    <s v="Yes"/>
    <x v="3"/>
    <x v="1"/>
    <s v="North America"/>
    <n v="46"/>
    <x v="0"/>
    <x v="0"/>
  </r>
  <r>
    <n v="28625"/>
    <x v="1"/>
    <x v="1"/>
    <n v="40000"/>
    <n v="2"/>
    <x v="1"/>
    <s v="Clerical"/>
    <s v="No"/>
    <x v="1"/>
    <x v="3"/>
    <s v="North America"/>
    <n v="47"/>
    <x v="0"/>
    <x v="1"/>
  </r>
  <r>
    <n v="11269"/>
    <x v="0"/>
    <x v="1"/>
    <n v="130000"/>
    <n v="2"/>
    <x v="4"/>
    <s v="Management"/>
    <s v="Yes"/>
    <x v="2"/>
    <x v="0"/>
    <s v="North America"/>
    <n v="41"/>
    <x v="0"/>
    <x v="0"/>
  </r>
  <r>
    <n v="25148"/>
    <x v="0"/>
    <x v="1"/>
    <n v="60000"/>
    <n v="2"/>
    <x v="2"/>
    <s v="Professional"/>
    <s v="No"/>
    <x v="2"/>
    <x v="3"/>
    <s v="North America"/>
    <n v="48"/>
    <x v="0"/>
    <x v="1"/>
  </r>
  <r>
    <n v="13920"/>
    <x v="1"/>
    <x v="0"/>
    <n v="50000"/>
    <n v="4"/>
    <x v="0"/>
    <s v="Skilled Manual"/>
    <s v="Yes"/>
    <x v="2"/>
    <x v="0"/>
    <s v="North America"/>
    <n v="42"/>
    <x v="0"/>
    <x v="0"/>
  </r>
  <r>
    <n v="23704"/>
    <x v="1"/>
    <x v="1"/>
    <n v="40000"/>
    <n v="5"/>
    <x v="2"/>
    <s v="Professional"/>
    <s v="Yes"/>
    <x v="3"/>
    <x v="4"/>
    <s v="North America"/>
    <n v="60"/>
    <x v="1"/>
    <x v="1"/>
  </r>
  <r>
    <n v="28972"/>
    <x v="1"/>
    <x v="0"/>
    <n v="60000"/>
    <n v="3"/>
    <x v="4"/>
    <s v="Management"/>
    <s v="Yes"/>
    <x v="2"/>
    <x v="4"/>
    <s v="North America"/>
    <n v="66"/>
    <x v="1"/>
    <x v="0"/>
  </r>
  <r>
    <n v="22730"/>
    <x v="0"/>
    <x v="1"/>
    <n v="70000"/>
    <n v="5"/>
    <x v="0"/>
    <s v="Management"/>
    <s v="Yes"/>
    <x v="2"/>
    <x v="4"/>
    <s v="North America"/>
    <n v="63"/>
    <x v="1"/>
    <x v="0"/>
  </r>
  <r>
    <n v="29134"/>
    <x v="0"/>
    <x v="1"/>
    <n v="60000"/>
    <n v="4"/>
    <x v="0"/>
    <s v="Skilled Manual"/>
    <s v="No"/>
    <x v="4"/>
    <x v="4"/>
    <s v="North America"/>
    <n v="42"/>
    <x v="0"/>
    <x v="0"/>
  </r>
  <r>
    <n v="14332"/>
    <x v="1"/>
    <x v="0"/>
    <n v="30000"/>
    <n v="0"/>
    <x v="2"/>
    <s v="Skilled Manual"/>
    <s v="No"/>
    <x v="2"/>
    <x v="2"/>
    <s v="North America"/>
    <n v="26"/>
    <x v="2"/>
    <x v="0"/>
  </r>
  <r>
    <n v="19117"/>
    <x v="1"/>
    <x v="0"/>
    <n v="60000"/>
    <n v="1"/>
    <x v="4"/>
    <s v="Professional"/>
    <s v="Yes"/>
    <x v="0"/>
    <x v="1"/>
    <s v="North America"/>
    <n v="36"/>
    <x v="0"/>
    <x v="1"/>
  </r>
  <r>
    <n v="22864"/>
    <x v="0"/>
    <x v="1"/>
    <n v="90000"/>
    <n v="2"/>
    <x v="1"/>
    <s v="Professional"/>
    <s v="No"/>
    <x v="0"/>
    <x v="2"/>
    <s v="North America"/>
    <n v="49"/>
    <x v="0"/>
    <x v="1"/>
  </r>
  <r>
    <n v="11292"/>
    <x v="1"/>
    <x v="1"/>
    <n v="150000"/>
    <n v="1"/>
    <x v="1"/>
    <s v="Professional"/>
    <s v="No"/>
    <x v="4"/>
    <x v="0"/>
    <s v="North America"/>
    <n v="44"/>
    <x v="0"/>
    <x v="1"/>
  </r>
  <r>
    <n v="13466"/>
    <x v="0"/>
    <x v="1"/>
    <n v="80000"/>
    <n v="5"/>
    <x v="1"/>
    <s v="Professional"/>
    <s v="Yes"/>
    <x v="4"/>
    <x v="3"/>
    <s v="North America"/>
    <n v="46"/>
    <x v="0"/>
    <x v="0"/>
  </r>
  <r>
    <n v="23731"/>
    <x v="0"/>
    <x v="1"/>
    <n v="60000"/>
    <n v="2"/>
    <x v="2"/>
    <s v="Professional"/>
    <s v="Yes"/>
    <x v="2"/>
    <x v="1"/>
    <s v="North America"/>
    <n v="54"/>
    <x v="1"/>
    <x v="1"/>
  </r>
  <r>
    <n v="28672"/>
    <x v="1"/>
    <x v="1"/>
    <n v="70000"/>
    <n v="4"/>
    <x v="4"/>
    <s v="Professional"/>
    <s v="Yes"/>
    <x v="0"/>
    <x v="1"/>
    <s v="North America"/>
    <n v="35"/>
    <x v="0"/>
    <x v="1"/>
  </r>
  <r>
    <n v="11809"/>
    <x v="0"/>
    <x v="1"/>
    <n v="60000"/>
    <n v="2"/>
    <x v="0"/>
    <s v="Skilled Manual"/>
    <s v="Yes"/>
    <x v="0"/>
    <x v="0"/>
    <s v="North America"/>
    <n v="38"/>
    <x v="0"/>
    <x v="1"/>
  </r>
  <r>
    <n v="19664"/>
    <x v="1"/>
    <x v="1"/>
    <n v="100000"/>
    <n v="3"/>
    <x v="0"/>
    <s v="Management"/>
    <s v="No"/>
    <x v="4"/>
    <x v="3"/>
    <s v="North America"/>
    <n v="38"/>
    <x v="0"/>
    <x v="0"/>
  </r>
  <r>
    <n v="12121"/>
    <x v="1"/>
    <x v="1"/>
    <n v="60000"/>
    <n v="3"/>
    <x v="2"/>
    <s v="Professional"/>
    <s v="Yes"/>
    <x v="2"/>
    <x v="4"/>
    <s v="North America"/>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AA2F9D-EB12-4F22-BA55-83FC471466C8}" name="PivotTable3"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5:D40"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showAll="0"/>
    <pivotField showAll="0"/>
    <pivotField showAll="0"/>
    <pivotField axis="axisRow" showAll="0">
      <items count="4">
        <item x="0"/>
        <item x="1"/>
        <item x="2"/>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1FFDBE-7CEF-4D59-927E-0B52C5D93BD9}" name="PivotTable2"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9:D2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E4D87A-8158-474D-9A3D-3177EE595A64}" name="PivotTable1"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multipleItemSelectionAllowed="1"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804E0F7-1121-4F3B-9371-5E8CB9E93278}" sourceName="Marital Status">
  <pivotTables>
    <pivotTable tabId="3" name="PivotTable1"/>
    <pivotTable tabId="3" name="PivotTable2"/>
    <pivotTable tabId="3" name="PivotTable3"/>
  </pivotTables>
  <data>
    <tabular pivotCacheId="64337268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E4D1B25A-A743-4FED-B1CA-B39FE4237732}" sourceName="Cars">
  <pivotTables>
    <pivotTable tabId="3" name="PivotTable2"/>
    <pivotTable tabId="3" name="PivotTable1"/>
    <pivotTable tabId="3" name="PivotTable3"/>
  </pivotTables>
  <data>
    <tabular pivotCacheId="643372682">
      <items count="5">
        <i x="0" s="1"/>
        <i x="1" s="1"/>
        <i x="2"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194166E-8F69-4B82-BB15-312DA32FB387}" sourceName="Education">
  <pivotTables>
    <pivotTable tabId="3" name="PivotTable1"/>
    <pivotTable tabId="3" name="PivotTable2"/>
    <pivotTable tabId="3" name="PivotTable3"/>
  </pivotTables>
  <data>
    <tabular pivotCacheId="643372682">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CDA5B34-683D-4D5E-97E6-68D2E789C6ED}" cache="Slicer_Marital_Status" caption="Marital Status" rowHeight="241300"/>
  <slicer name="Cars" xr10:uid="{312D0818-B7BF-44C8-8280-BEA6A71EBC2B}" cache="Slicer_Cars" caption="Cars" rowHeight="241300"/>
  <slicer name="Education" xr10:uid="{2F2704AD-796F-4641-BDA0-F541F90731F5}" cache="Slicer_Education" caption="Educat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M1027"/>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43B17-CE92-4123-B7BA-A57901B4106F}">
  <dimension ref="A1:N1001"/>
  <sheetViews>
    <sheetView topLeftCell="C1" zoomScale="91" zoomScaleNormal="91" workbookViewId="0">
      <selection activeCell="J1" sqref="J1:J1048576"/>
    </sheetView>
  </sheetViews>
  <sheetFormatPr defaultRowHeight="15" x14ac:dyDescent="0.25"/>
  <cols>
    <col min="2" max="2" width="31.140625" bestFit="1" customWidth="1"/>
    <col min="3" max="3" width="10" bestFit="1" customWidth="1"/>
    <col min="4" max="4" width="11" style="5" bestFit="1" customWidth="1"/>
    <col min="5" max="5" width="10.85546875" bestFit="1" customWidth="1"/>
    <col min="6" max="6" width="17.7109375" bestFit="1" customWidth="1"/>
    <col min="7" max="7" width="14.140625" bestFit="1" customWidth="1"/>
    <col min="8" max="8" width="12.7109375" bestFit="1" customWidth="1"/>
    <col min="10" max="10" width="20.28515625" bestFit="1" customWidth="1"/>
    <col min="13" max="13" width="12.5703125" bestFit="1" customWidth="1"/>
    <col min="14" max="14" width="14.5703125" bestFit="1" customWidth="1"/>
  </cols>
  <sheetData>
    <row r="1" spans="1:14" s="3" customFormat="1" x14ac:dyDescent="0.25">
      <c r="A1" s="3" t="s">
        <v>0</v>
      </c>
      <c r="B1" s="3" t="s">
        <v>1</v>
      </c>
      <c r="C1" s="3" t="s">
        <v>2</v>
      </c>
      <c r="D1" s="4" t="s">
        <v>3</v>
      </c>
      <c r="E1" s="3" t="s">
        <v>4</v>
      </c>
      <c r="F1" s="3" t="s">
        <v>5</v>
      </c>
      <c r="G1" s="3" t="s">
        <v>6</v>
      </c>
      <c r="H1" s="3" t="s">
        <v>7</v>
      </c>
      <c r="I1" s="3" t="s">
        <v>8</v>
      </c>
      <c r="J1" s="3" t="s">
        <v>9</v>
      </c>
      <c r="K1" s="3" t="s">
        <v>10</v>
      </c>
      <c r="L1" s="3" t="s">
        <v>11</v>
      </c>
      <c r="M1" s="3" t="s">
        <v>40</v>
      </c>
      <c r="N1" s="3" t="s">
        <v>12</v>
      </c>
    </row>
    <row r="2" spans="1:14" x14ac:dyDescent="0.25">
      <c r="A2">
        <v>12496</v>
      </c>
      <c r="B2" t="s">
        <v>36</v>
      </c>
      <c r="C2" t="s">
        <v>38</v>
      </c>
      <c r="D2" s="5">
        <v>40000</v>
      </c>
      <c r="E2">
        <v>1</v>
      </c>
      <c r="F2" t="s">
        <v>13</v>
      </c>
      <c r="G2" t="s">
        <v>14</v>
      </c>
      <c r="H2" t="s">
        <v>15</v>
      </c>
      <c r="I2">
        <v>0</v>
      </c>
      <c r="J2" t="s">
        <v>16</v>
      </c>
      <c r="K2" t="s">
        <v>17</v>
      </c>
      <c r="L2">
        <v>42</v>
      </c>
      <c r="M2" t="str">
        <f>IF(L2&gt;=50,"Old",IF(L2&gt;=30,"Middle Age",IF(L2&lt;30,"Young Adult","Invalid")))</f>
        <v>Middle Age</v>
      </c>
      <c r="N2" t="s">
        <v>18</v>
      </c>
    </row>
    <row r="3" spans="1:14" x14ac:dyDescent="0.25">
      <c r="A3">
        <v>24107</v>
      </c>
      <c r="B3" t="s">
        <v>36</v>
      </c>
      <c r="C3" t="s">
        <v>39</v>
      </c>
      <c r="D3" s="5">
        <v>30000</v>
      </c>
      <c r="E3">
        <v>3</v>
      </c>
      <c r="F3" t="s">
        <v>19</v>
      </c>
      <c r="G3" t="s">
        <v>20</v>
      </c>
      <c r="H3" t="s">
        <v>15</v>
      </c>
      <c r="I3">
        <v>1</v>
      </c>
      <c r="J3" t="s">
        <v>16</v>
      </c>
      <c r="K3" t="s">
        <v>17</v>
      </c>
      <c r="L3">
        <v>43</v>
      </c>
      <c r="M3" t="str">
        <f t="shared" ref="M3:M66" si="0">IF(L3&gt;=50,"Old",IF(L3&gt;=30,"Middle Age",IF(L3&lt;30,"Young Adult","Invalid")))</f>
        <v>Middle Age</v>
      </c>
      <c r="N3" t="s">
        <v>18</v>
      </c>
    </row>
    <row r="4" spans="1:14" x14ac:dyDescent="0.25">
      <c r="A4">
        <v>14177</v>
      </c>
      <c r="B4" t="s">
        <v>36</v>
      </c>
      <c r="C4" t="s">
        <v>39</v>
      </c>
      <c r="D4" s="5">
        <v>80000</v>
      </c>
      <c r="E4">
        <v>5</v>
      </c>
      <c r="F4" t="s">
        <v>19</v>
      </c>
      <c r="G4" t="s">
        <v>21</v>
      </c>
      <c r="H4" t="s">
        <v>18</v>
      </c>
      <c r="I4">
        <v>2</v>
      </c>
      <c r="J4" t="s">
        <v>22</v>
      </c>
      <c r="K4" t="s">
        <v>17</v>
      </c>
      <c r="L4">
        <v>60</v>
      </c>
      <c r="M4" t="str">
        <f t="shared" si="0"/>
        <v>Old</v>
      </c>
      <c r="N4" t="s">
        <v>18</v>
      </c>
    </row>
    <row r="5" spans="1:14" x14ac:dyDescent="0.25">
      <c r="A5">
        <v>24381</v>
      </c>
      <c r="B5" t="s">
        <v>37</v>
      </c>
      <c r="C5" t="s">
        <v>39</v>
      </c>
      <c r="D5" s="5">
        <v>70000</v>
      </c>
      <c r="E5">
        <v>0</v>
      </c>
      <c r="F5" t="s">
        <v>13</v>
      </c>
      <c r="G5" t="s">
        <v>21</v>
      </c>
      <c r="H5" t="s">
        <v>15</v>
      </c>
      <c r="I5">
        <v>1</v>
      </c>
      <c r="J5" t="s">
        <v>23</v>
      </c>
      <c r="K5" t="s">
        <v>24</v>
      </c>
      <c r="L5">
        <v>41</v>
      </c>
      <c r="M5" t="str">
        <f t="shared" si="0"/>
        <v>Middle Age</v>
      </c>
      <c r="N5" t="s">
        <v>15</v>
      </c>
    </row>
    <row r="6" spans="1:14" x14ac:dyDescent="0.25">
      <c r="A6">
        <v>25597</v>
      </c>
      <c r="B6" t="s">
        <v>37</v>
      </c>
      <c r="C6" t="s">
        <v>39</v>
      </c>
      <c r="D6" s="5">
        <v>30000</v>
      </c>
      <c r="E6">
        <v>0</v>
      </c>
      <c r="F6" t="s">
        <v>13</v>
      </c>
      <c r="G6" t="s">
        <v>20</v>
      </c>
      <c r="H6" t="s">
        <v>18</v>
      </c>
      <c r="I6">
        <v>0</v>
      </c>
      <c r="J6" t="s">
        <v>16</v>
      </c>
      <c r="K6" t="s">
        <v>17</v>
      </c>
      <c r="L6">
        <v>36</v>
      </c>
      <c r="M6" t="str">
        <f t="shared" si="0"/>
        <v>Middle Age</v>
      </c>
      <c r="N6" t="s">
        <v>15</v>
      </c>
    </row>
    <row r="7" spans="1:14" x14ac:dyDescent="0.25">
      <c r="A7">
        <v>13507</v>
      </c>
      <c r="B7" t="s">
        <v>36</v>
      </c>
      <c r="C7" t="s">
        <v>38</v>
      </c>
      <c r="D7" s="5">
        <v>10000</v>
      </c>
      <c r="E7">
        <v>2</v>
      </c>
      <c r="F7" t="s">
        <v>19</v>
      </c>
      <c r="G7" t="s">
        <v>25</v>
      </c>
      <c r="H7" t="s">
        <v>15</v>
      </c>
      <c r="I7">
        <v>0</v>
      </c>
      <c r="J7" t="s">
        <v>26</v>
      </c>
      <c r="K7" t="s">
        <v>17</v>
      </c>
      <c r="L7">
        <v>50</v>
      </c>
      <c r="M7" t="str">
        <f t="shared" si="0"/>
        <v>Old</v>
      </c>
      <c r="N7" t="s">
        <v>18</v>
      </c>
    </row>
    <row r="8" spans="1:14" x14ac:dyDescent="0.25">
      <c r="A8">
        <v>27974</v>
      </c>
      <c r="B8" t="s">
        <v>37</v>
      </c>
      <c r="C8" t="s">
        <v>39</v>
      </c>
      <c r="D8" s="5">
        <v>160000</v>
      </c>
      <c r="E8">
        <v>2</v>
      </c>
      <c r="F8" t="s">
        <v>27</v>
      </c>
      <c r="G8" t="s">
        <v>28</v>
      </c>
      <c r="H8" t="s">
        <v>15</v>
      </c>
      <c r="I8">
        <v>4</v>
      </c>
      <c r="J8" t="s">
        <v>16</v>
      </c>
      <c r="K8" t="s">
        <v>24</v>
      </c>
      <c r="L8">
        <v>33</v>
      </c>
      <c r="M8" t="str">
        <f t="shared" si="0"/>
        <v>Middle Age</v>
      </c>
      <c r="N8" t="s">
        <v>15</v>
      </c>
    </row>
    <row r="9" spans="1:14" x14ac:dyDescent="0.25">
      <c r="A9">
        <v>19364</v>
      </c>
      <c r="B9" t="s">
        <v>36</v>
      </c>
      <c r="C9" t="s">
        <v>39</v>
      </c>
      <c r="D9" s="5">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5">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5">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5">
        <v>30000</v>
      </c>
      <c r="E12">
        <v>3</v>
      </c>
      <c r="F12" t="s">
        <v>27</v>
      </c>
      <c r="G12" t="s">
        <v>14</v>
      </c>
      <c r="H12" t="s">
        <v>18</v>
      </c>
      <c r="I12">
        <v>2</v>
      </c>
      <c r="J12" t="s">
        <v>26</v>
      </c>
      <c r="K12" t="s">
        <v>24</v>
      </c>
      <c r="L12">
        <v>54</v>
      </c>
      <c r="M12" t="str">
        <f t="shared" si="0"/>
        <v>Old</v>
      </c>
      <c r="N12" t="s">
        <v>15</v>
      </c>
    </row>
    <row r="13" spans="1:14" x14ac:dyDescent="0.25">
      <c r="A13">
        <v>12697</v>
      </c>
      <c r="B13" t="s">
        <v>37</v>
      </c>
      <c r="C13" t="s">
        <v>38</v>
      </c>
      <c r="D13" s="5">
        <v>90000</v>
      </c>
      <c r="E13">
        <v>0</v>
      </c>
      <c r="F13" t="s">
        <v>13</v>
      </c>
      <c r="G13" t="s">
        <v>21</v>
      </c>
      <c r="H13" t="s">
        <v>18</v>
      </c>
      <c r="I13">
        <v>4</v>
      </c>
      <c r="J13" t="s">
        <v>46</v>
      </c>
      <c r="K13" t="s">
        <v>24</v>
      </c>
      <c r="L13">
        <v>36</v>
      </c>
      <c r="M13" t="str">
        <f t="shared" si="0"/>
        <v>Middle Age</v>
      </c>
      <c r="N13" t="s">
        <v>18</v>
      </c>
    </row>
    <row r="14" spans="1:14" x14ac:dyDescent="0.25">
      <c r="A14">
        <v>11434</v>
      </c>
      <c r="B14" t="s">
        <v>36</v>
      </c>
      <c r="C14" t="s">
        <v>39</v>
      </c>
      <c r="D14" s="5">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5">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5">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5">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5">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5">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5">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5">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5">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5">
        <v>80000</v>
      </c>
      <c r="E23">
        <v>0</v>
      </c>
      <c r="F23" t="s">
        <v>13</v>
      </c>
      <c r="G23" t="s">
        <v>21</v>
      </c>
      <c r="H23" t="s">
        <v>15</v>
      </c>
      <c r="I23">
        <v>4</v>
      </c>
      <c r="J23" t="s">
        <v>46</v>
      </c>
      <c r="K23" t="s">
        <v>24</v>
      </c>
      <c r="L23">
        <v>35</v>
      </c>
      <c r="M23" t="str">
        <f t="shared" si="0"/>
        <v>Middle Age</v>
      </c>
      <c r="N23" t="s">
        <v>18</v>
      </c>
    </row>
    <row r="24" spans="1:14" x14ac:dyDescent="0.25">
      <c r="A24">
        <v>19193</v>
      </c>
      <c r="B24" t="s">
        <v>37</v>
      </c>
      <c r="C24" t="s">
        <v>39</v>
      </c>
      <c r="D24" s="5">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5">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5">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5">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5">
        <v>30000</v>
      </c>
      <c r="E28">
        <v>0</v>
      </c>
      <c r="F28" t="s">
        <v>19</v>
      </c>
      <c r="G28" t="s">
        <v>20</v>
      </c>
      <c r="H28" t="s">
        <v>18</v>
      </c>
      <c r="I28">
        <v>1</v>
      </c>
      <c r="J28" t="s">
        <v>16</v>
      </c>
      <c r="K28" t="s">
        <v>17</v>
      </c>
      <c r="L28">
        <v>29</v>
      </c>
      <c r="M28" t="str">
        <f t="shared" si="0"/>
        <v>Young Adult</v>
      </c>
      <c r="N28" t="s">
        <v>15</v>
      </c>
    </row>
    <row r="29" spans="1:14" x14ac:dyDescent="0.25">
      <c r="A29">
        <v>18283</v>
      </c>
      <c r="B29" t="s">
        <v>37</v>
      </c>
      <c r="C29" t="s">
        <v>38</v>
      </c>
      <c r="D29" s="5">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5">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5">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5">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5">
        <v>10000</v>
      </c>
      <c r="E33">
        <v>0</v>
      </c>
      <c r="F33" t="s">
        <v>19</v>
      </c>
      <c r="G33" t="s">
        <v>25</v>
      </c>
      <c r="H33" t="s">
        <v>18</v>
      </c>
      <c r="I33">
        <v>1</v>
      </c>
      <c r="J33" t="s">
        <v>16</v>
      </c>
      <c r="K33" t="s">
        <v>24</v>
      </c>
      <c r="L33">
        <v>26</v>
      </c>
      <c r="M33" t="str">
        <f t="shared" si="0"/>
        <v>Young Adult</v>
      </c>
      <c r="N33" t="s">
        <v>15</v>
      </c>
    </row>
    <row r="34" spans="1:14" x14ac:dyDescent="0.25">
      <c r="A34">
        <v>20942</v>
      </c>
      <c r="B34" t="s">
        <v>37</v>
      </c>
      <c r="C34" t="s">
        <v>38</v>
      </c>
      <c r="D34" s="5">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5">
        <v>80000</v>
      </c>
      <c r="E35">
        <v>2</v>
      </c>
      <c r="F35" t="s">
        <v>27</v>
      </c>
      <c r="G35" t="s">
        <v>14</v>
      </c>
      <c r="H35" t="s">
        <v>18</v>
      </c>
      <c r="I35">
        <v>2</v>
      </c>
      <c r="J35" t="s">
        <v>26</v>
      </c>
      <c r="K35" t="s">
        <v>24</v>
      </c>
      <c r="L35">
        <v>50</v>
      </c>
      <c r="M35" t="str">
        <f t="shared" si="0"/>
        <v>Old</v>
      </c>
      <c r="N35" t="s">
        <v>15</v>
      </c>
    </row>
    <row r="36" spans="1:14" x14ac:dyDescent="0.25">
      <c r="A36">
        <v>12291</v>
      </c>
      <c r="B36" t="s">
        <v>37</v>
      </c>
      <c r="C36" t="s">
        <v>39</v>
      </c>
      <c r="D36" s="5">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5">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5">
        <v>10000</v>
      </c>
      <c r="E38">
        <v>2</v>
      </c>
      <c r="F38" t="s">
        <v>19</v>
      </c>
      <c r="G38" t="s">
        <v>25</v>
      </c>
      <c r="H38" t="s">
        <v>15</v>
      </c>
      <c r="I38">
        <v>1</v>
      </c>
      <c r="J38" t="s">
        <v>16</v>
      </c>
      <c r="K38" t="s">
        <v>17</v>
      </c>
      <c r="L38">
        <v>50</v>
      </c>
      <c r="M38" t="str">
        <f t="shared" si="0"/>
        <v>Old</v>
      </c>
      <c r="N38" t="s">
        <v>15</v>
      </c>
    </row>
    <row r="39" spans="1:14" x14ac:dyDescent="0.25">
      <c r="A39">
        <v>27832</v>
      </c>
      <c r="B39" t="s">
        <v>37</v>
      </c>
      <c r="C39" t="s">
        <v>38</v>
      </c>
      <c r="D39" s="5">
        <v>30000</v>
      </c>
      <c r="E39">
        <v>0</v>
      </c>
      <c r="F39" t="s">
        <v>19</v>
      </c>
      <c r="G39" t="s">
        <v>20</v>
      </c>
      <c r="H39" t="s">
        <v>18</v>
      </c>
      <c r="I39">
        <v>1</v>
      </c>
      <c r="J39" t="s">
        <v>22</v>
      </c>
      <c r="K39" t="s">
        <v>17</v>
      </c>
      <c r="L39">
        <v>30</v>
      </c>
      <c r="M39" t="str">
        <f t="shared" si="0"/>
        <v>Middle Age</v>
      </c>
      <c r="N39" t="s">
        <v>18</v>
      </c>
    </row>
    <row r="40" spans="1:14" x14ac:dyDescent="0.25">
      <c r="A40">
        <v>26863</v>
      </c>
      <c r="B40" t="s">
        <v>37</v>
      </c>
      <c r="C40" t="s">
        <v>39</v>
      </c>
      <c r="D40" s="5">
        <v>20000</v>
      </c>
      <c r="E40">
        <v>0</v>
      </c>
      <c r="F40" t="s">
        <v>27</v>
      </c>
      <c r="G40" t="s">
        <v>25</v>
      </c>
      <c r="H40" t="s">
        <v>18</v>
      </c>
      <c r="I40">
        <v>1</v>
      </c>
      <c r="J40" t="s">
        <v>22</v>
      </c>
      <c r="K40" t="s">
        <v>17</v>
      </c>
      <c r="L40">
        <v>28</v>
      </c>
      <c r="M40" t="str">
        <f t="shared" si="0"/>
        <v>Young Adult</v>
      </c>
      <c r="N40" t="s">
        <v>18</v>
      </c>
    </row>
    <row r="41" spans="1:14" x14ac:dyDescent="0.25">
      <c r="A41">
        <v>16259</v>
      </c>
      <c r="B41" t="s">
        <v>37</v>
      </c>
      <c r="C41" t="s">
        <v>38</v>
      </c>
      <c r="D41" s="5">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5">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5">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5">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5">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5">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5">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5">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5">
        <v>40000</v>
      </c>
      <c r="E49">
        <v>2</v>
      </c>
      <c r="F49" t="s">
        <v>19</v>
      </c>
      <c r="G49" t="s">
        <v>14</v>
      </c>
      <c r="H49" t="s">
        <v>15</v>
      </c>
      <c r="I49">
        <v>2</v>
      </c>
      <c r="J49" t="s">
        <v>23</v>
      </c>
      <c r="K49" t="s">
        <v>24</v>
      </c>
      <c r="L49">
        <v>52</v>
      </c>
      <c r="M49" t="str">
        <f t="shared" si="0"/>
        <v>Old</v>
      </c>
      <c r="N49" t="s">
        <v>15</v>
      </c>
    </row>
    <row r="50" spans="1:14" x14ac:dyDescent="0.25">
      <c r="A50">
        <v>19487</v>
      </c>
      <c r="B50" t="s">
        <v>36</v>
      </c>
      <c r="C50" t="s">
        <v>39</v>
      </c>
      <c r="D50" s="5">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5">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5">
        <v>30000</v>
      </c>
      <c r="E52">
        <v>0</v>
      </c>
      <c r="F52" t="s">
        <v>19</v>
      </c>
      <c r="G52" t="s">
        <v>20</v>
      </c>
      <c r="H52" t="s">
        <v>18</v>
      </c>
      <c r="I52">
        <v>1</v>
      </c>
      <c r="J52" t="s">
        <v>16</v>
      </c>
      <c r="K52" t="s">
        <v>17</v>
      </c>
      <c r="L52">
        <v>28</v>
      </c>
      <c r="M52" t="str">
        <f t="shared" si="0"/>
        <v>Young Adult</v>
      </c>
      <c r="N52" t="s">
        <v>18</v>
      </c>
    </row>
    <row r="53" spans="1:14" x14ac:dyDescent="0.25">
      <c r="A53">
        <v>20619</v>
      </c>
      <c r="B53" t="s">
        <v>37</v>
      </c>
      <c r="C53" t="s">
        <v>39</v>
      </c>
      <c r="D53" s="5">
        <v>80000</v>
      </c>
      <c r="E53">
        <v>0</v>
      </c>
      <c r="F53" t="s">
        <v>13</v>
      </c>
      <c r="G53" t="s">
        <v>21</v>
      </c>
      <c r="H53" t="s">
        <v>18</v>
      </c>
      <c r="I53">
        <v>4</v>
      </c>
      <c r="J53" t="s">
        <v>46</v>
      </c>
      <c r="K53" t="s">
        <v>24</v>
      </c>
      <c r="L53">
        <v>35</v>
      </c>
      <c r="M53" t="str">
        <f t="shared" si="0"/>
        <v>Middle Age</v>
      </c>
      <c r="N53" t="s">
        <v>18</v>
      </c>
    </row>
    <row r="54" spans="1:14" x14ac:dyDescent="0.25">
      <c r="A54">
        <v>12558</v>
      </c>
      <c r="B54" t="s">
        <v>36</v>
      </c>
      <c r="C54" t="s">
        <v>38</v>
      </c>
      <c r="D54" s="5">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5">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5">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5">
        <v>80000</v>
      </c>
      <c r="E57">
        <v>4</v>
      </c>
      <c r="F57" t="s">
        <v>27</v>
      </c>
      <c r="G57" t="s">
        <v>21</v>
      </c>
      <c r="H57" t="s">
        <v>15</v>
      </c>
      <c r="I57">
        <v>2</v>
      </c>
      <c r="J57" t="s">
        <v>46</v>
      </c>
      <c r="K57" t="s">
        <v>17</v>
      </c>
      <c r="L57">
        <v>54</v>
      </c>
      <c r="M57" t="str">
        <f t="shared" si="0"/>
        <v>Old</v>
      </c>
      <c r="N57" t="s">
        <v>18</v>
      </c>
    </row>
    <row r="58" spans="1:14" x14ac:dyDescent="0.25">
      <c r="A58">
        <v>12808</v>
      </c>
      <c r="B58" t="s">
        <v>36</v>
      </c>
      <c r="C58" t="s">
        <v>39</v>
      </c>
      <c r="D58" s="5">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5">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5">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5">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5">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5">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5">
        <v>40000</v>
      </c>
      <c r="E64">
        <v>2</v>
      </c>
      <c r="F64" t="s">
        <v>13</v>
      </c>
      <c r="G64" t="s">
        <v>28</v>
      </c>
      <c r="H64" t="s">
        <v>15</v>
      </c>
      <c r="I64">
        <v>1</v>
      </c>
      <c r="J64" t="s">
        <v>16</v>
      </c>
      <c r="K64" t="s">
        <v>24</v>
      </c>
      <c r="L64">
        <v>52</v>
      </c>
      <c r="M64" t="str">
        <f t="shared" si="0"/>
        <v>Old</v>
      </c>
      <c r="N64" t="s">
        <v>15</v>
      </c>
    </row>
    <row r="65" spans="1:14" x14ac:dyDescent="0.25">
      <c r="A65">
        <v>16185</v>
      </c>
      <c r="B65" t="s">
        <v>37</v>
      </c>
      <c r="C65" t="s">
        <v>39</v>
      </c>
      <c r="D65" s="5">
        <v>60000</v>
      </c>
      <c r="E65">
        <v>4</v>
      </c>
      <c r="F65" t="s">
        <v>13</v>
      </c>
      <c r="G65" t="s">
        <v>21</v>
      </c>
      <c r="H65" t="s">
        <v>15</v>
      </c>
      <c r="I65">
        <v>3</v>
      </c>
      <c r="J65" t="s">
        <v>46</v>
      </c>
      <c r="K65" t="s">
        <v>24</v>
      </c>
      <c r="L65">
        <v>41</v>
      </c>
      <c r="M65" t="str">
        <f t="shared" si="0"/>
        <v>Middle Age</v>
      </c>
      <c r="N65" t="s">
        <v>18</v>
      </c>
    </row>
    <row r="66" spans="1:14" x14ac:dyDescent="0.25">
      <c r="A66">
        <v>14927</v>
      </c>
      <c r="B66" t="s">
        <v>36</v>
      </c>
      <c r="C66" t="s">
        <v>38</v>
      </c>
      <c r="D66" s="5">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5">
        <v>30000</v>
      </c>
      <c r="E67">
        <v>2</v>
      </c>
      <c r="F67" t="s">
        <v>19</v>
      </c>
      <c r="G67" t="s">
        <v>20</v>
      </c>
      <c r="H67" t="s">
        <v>15</v>
      </c>
      <c r="I67">
        <v>2</v>
      </c>
      <c r="J67" t="s">
        <v>23</v>
      </c>
      <c r="K67" t="s">
        <v>24</v>
      </c>
      <c r="L67">
        <v>68</v>
      </c>
      <c r="M67" t="str">
        <f t="shared" ref="M67:M130" si="1">IF(L67&gt;=50,"Old",IF(L67&gt;=30,"Middle Age",IF(L67&lt;30,"Young Adult","Invalid")))</f>
        <v>Old</v>
      </c>
      <c r="N67" t="s">
        <v>18</v>
      </c>
    </row>
    <row r="68" spans="1:14" x14ac:dyDescent="0.25">
      <c r="A68">
        <v>29355</v>
      </c>
      <c r="B68" t="s">
        <v>36</v>
      </c>
      <c r="C68" t="s">
        <v>38</v>
      </c>
      <c r="D68" s="5">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5">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5">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5">
        <v>10000</v>
      </c>
      <c r="E71">
        <v>0</v>
      </c>
      <c r="F71" t="s">
        <v>29</v>
      </c>
      <c r="G71" t="s">
        <v>25</v>
      </c>
      <c r="H71" t="s">
        <v>18</v>
      </c>
      <c r="I71">
        <v>2</v>
      </c>
      <c r="J71" t="s">
        <v>16</v>
      </c>
      <c r="K71" t="s">
        <v>17</v>
      </c>
      <c r="L71">
        <v>30</v>
      </c>
      <c r="M71" t="str">
        <f t="shared" si="1"/>
        <v>Middle Age</v>
      </c>
      <c r="N71" t="s">
        <v>18</v>
      </c>
    </row>
    <row r="72" spans="1:14" x14ac:dyDescent="0.25">
      <c r="A72">
        <v>14238</v>
      </c>
      <c r="B72" t="s">
        <v>36</v>
      </c>
      <c r="C72" t="s">
        <v>39</v>
      </c>
      <c r="D72" s="5">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38</v>
      </c>
      <c r="D73" s="5">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5">
        <v>130000</v>
      </c>
      <c r="E74">
        <v>3</v>
      </c>
      <c r="F74" t="s">
        <v>27</v>
      </c>
      <c r="G74" t="s">
        <v>21</v>
      </c>
      <c r="H74" t="s">
        <v>15</v>
      </c>
      <c r="I74">
        <v>4</v>
      </c>
      <c r="J74" t="s">
        <v>16</v>
      </c>
      <c r="K74" t="s">
        <v>17</v>
      </c>
      <c r="L74">
        <v>52</v>
      </c>
      <c r="M74" t="str">
        <f t="shared" si="1"/>
        <v>Old</v>
      </c>
      <c r="N74" t="s">
        <v>18</v>
      </c>
    </row>
    <row r="75" spans="1:14" x14ac:dyDescent="0.25">
      <c r="A75">
        <v>26956</v>
      </c>
      <c r="B75" t="s">
        <v>37</v>
      </c>
      <c r="C75" t="s">
        <v>38</v>
      </c>
      <c r="D75" s="5">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5">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5">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5">
        <v>20000</v>
      </c>
      <c r="E78">
        <v>0</v>
      </c>
      <c r="F78" t="s">
        <v>29</v>
      </c>
      <c r="G78" t="s">
        <v>25</v>
      </c>
      <c r="H78" t="s">
        <v>18</v>
      </c>
      <c r="I78">
        <v>2</v>
      </c>
      <c r="J78" t="s">
        <v>26</v>
      </c>
      <c r="K78" t="s">
        <v>17</v>
      </c>
      <c r="L78">
        <v>26</v>
      </c>
      <c r="M78" t="str">
        <f t="shared" si="1"/>
        <v>Young Adult</v>
      </c>
      <c r="N78" t="s">
        <v>18</v>
      </c>
    </row>
    <row r="79" spans="1:14" x14ac:dyDescent="0.25">
      <c r="A79">
        <v>27969</v>
      </c>
      <c r="B79" t="s">
        <v>36</v>
      </c>
      <c r="C79" t="s">
        <v>39</v>
      </c>
      <c r="D79" s="5">
        <v>80000</v>
      </c>
      <c r="E79">
        <v>0</v>
      </c>
      <c r="F79" t="s">
        <v>13</v>
      </c>
      <c r="G79" t="s">
        <v>21</v>
      </c>
      <c r="H79" t="s">
        <v>15</v>
      </c>
      <c r="I79">
        <v>2</v>
      </c>
      <c r="J79" t="s">
        <v>46</v>
      </c>
      <c r="K79" t="s">
        <v>24</v>
      </c>
      <c r="L79">
        <v>29</v>
      </c>
      <c r="M79" t="str">
        <f t="shared" si="1"/>
        <v>Young Adult</v>
      </c>
      <c r="N79" t="s">
        <v>15</v>
      </c>
    </row>
    <row r="80" spans="1:14" x14ac:dyDescent="0.25">
      <c r="A80">
        <v>15752</v>
      </c>
      <c r="B80" t="s">
        <v>36</v>
      </c>
      <c r="C80" t="s">
        <v>39</v>
      </c>
      <c r="D80" s="5">
        <v>80000</v>
      </c>
      <c r="E80">
        <v>2</v>
      </c>
      <c r="F80" t="s">
        <v>27</v>
      </c>
      <c r="G80" t="s">
        <v>14</v>
      </c>
      <c r="H80" t="s">
        <v>18</v>
      </c>
      <c r="I80">
        <v>2</v>
      </c>
      <c r="J80" t="s">
        <v>26</v>
      </c>
      <c r="K80" t="s">
        <v>24</v>
      </c>
      <c r="L80">
        <v>50</v>
      </c>
      <c r="M80" t="str">
        <f t="shared" si="1"/>
        <v>Old</v>
      </c>
      <c r="N80" t="s">
        <v>15</v>
      </c>
    </row>
    <row r="81" spans="1:14" x14ac:dyDescent="0.25">
      <c r="A81">
        <v>27745</v>
      </c>
      <c r="B81" t="s">
        <v>37</v>
      </c>
      <c r="C81" t="s">
        <v>39</v>
      </c>
      <c r="D81" s="5">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5">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5">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5">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5">
        <v>20000</v>
      </c>
      <c r="E85">
        <v>0</v>
      </c>
      <c r="F85" t="s">
        <v>27</v>
      </c>
      <c r="G85" t="s">
        <v>25</v>
      </c>
      <c r="H85" t="s">
        <v>18</v>
      </c>
      <c r="I85">
        <v>1</v>
      </c>
      <c r="J85" t="s">
        <v>22</v>
      </c>
      <c r="K85" t="s">
        <v>17</v>
      </c>
      <c r="L85">
        <v>29</v>
      </c>
      <c r="M85" t="str">
        <f t="shared" si="1"/>
        <v>Young Adult</v>
      </c>
      <c r="N85" t="s">
        <v>18</v>
      </c>
    </row>
    <row r="86" spans="1:14" x14ac:dyDescent="0.25">
      <c r="A86">
        <v>24485</v>
      </c>
      <c r="B86" t="s">
        <v>37</v>
      </c>
      <c r="C86" t="s">
        <v>39</v>
      </c>
      <c r="D86" s="5">
        <v>40000</v>
      </c>
      <c r="E86">
        <v>2</v>
      </c>
      <c r="F86" t="s">
        <v>13</v>
      </c>
      <c r="G86" t="s">
        <v>28</v>
      </c>
      <c r="H86" t="s">
        <v>18</v>
      </c>
      <c r="I86">
        <v>1</v>
      </c>
      <c r="J86" t="s">
        <v>23</v>
      </c>
      <c r="K86" t="s">
        <v>24</v>
      </c>
      <c r="L86">
        <v>52</v>
      </c>
      <c r="M86" t="str">
        <f t="shared" si="1"/>
        <v>Old</v>
      </c>
      <c r="N86" t="s">
        <v>15</v>
      </c>
    </row>
    <row r="87" spans="1:14" x14ac:dyDescent="0.25">
      <c r="A87">
        <v>16514</v>
      </c>
      <c r="B87" t="s">
        <v>37</v>
      </c>
      <c r="C87" t="s">
        <v>39</v>
      </c>
      <c r="D87" s="5">
        <v>10000</v>
      </c>
      <c r="E87">
        <v>0</v>
      </c>
      <c r="F87" t="s">
        <v>19</v>
      </c>
      <c r="G87" t="s">
        <v>25</v>
      </c>
      <c r="H87" t="s">
        <v>15</v>
      </c>
      <c r="I87">
        <v>1</v>
      </c>
      <c r="J87" t="s">
        <v>26</v>
      </c>
      <c r="K87" t="s">
        <v>24</v>
      </c>
      <c r="L87">
        <v>26</v>
      </c>
      <c r="M87" t="str">
        <f t="shared" si="1"/>
        <v>Young Adult</v>
      </c>
      <c r="N87" t="s">
        <v>15</v>
      </c>
    </row>
    <row r="88" spans="1:14" x14ac:dyDescent="0.25">
      <c r="A88">
        <v>17191</v>
      </c>
      <c r="B88" t="s">
        <v>37</v>
      </c>
      <c r="C88" t="s">
        <v>39</v>
      </c>
      <c r="D88" s="5">
        <v>130000</v>
      </c>
      <c r="E88">
        <v>3</v>
      </c>
      <c r="F88" t="s">
        <v>19</v>
      </c>
      <c r="G88" t="s">
        <v>21</v>
      </c>
      <c r="H88" t="s">
        <v>18</v>
      </c>
      <c r="I88">
        <v>3</v>
      </c>
      <c r="J88" t="s">
        <v>16</v>
      </c>
      <c r="K88" t="s">
        <v>17</v>
      </c>
      <c r="L88">
        <v>51</v>
      </c>
      <c r="M88" t="str">
        <f t="shared" si="1"/>
        <v>Old</v>
      </c>
      <c r="N88" t="s">
        <v>15</v>
      </c>
    </row>
    <row r="89" spans="1:14" x14ac:dyDescent="0.25">
      <c r="A89">
        <v>19608</v>
      </c>
      <c r="B89" t="s">
        <v>36</v>
      </c>
      <c r="C89" t="s">
        <v>39</v>
      </c>
      <c r="D89" s="5">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5">
        <v>30000</v>
      </c>
      <c r="E90">
        <v>0</v>
      </c>
      <c r="F90" t="s">
        <v>19</v>
      </c>
      <c r="G90" t="s">
        <v>20</v>
      </c>
      <c r="H90" t="s">
        <v>18</v>
      </c>
      <c r="I90">
        <v>1</v>
      </c>
      <c r="J90" t="s">
        <v>22</v>
      </c>
      <c r="K90" t="s">
        <v>17</v>
      </c>
      <c r="L90">
        <v>29</v>
      </c>
      <c r="M90" t="str">
        <f t="shared" si="1"/>
        <v>Young Adult</v>
      </c>
      <c r="N90" t="s">
        <v>18</v>
      </c>
    </row>
    <row r="91" spans="1:14" x14ac:dyDescent="0.25">
      <c r="A91">
        <v>25458</v>
      </c>
      <c r="B91" t="s">
        <v>36</v>
      </c>
      <c r="C91" t="s">
        <v>39</v>
      </c>
      <c r="D91" s="5">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5">
        <v>30000</v>
      </c>
      <c r="E92">
        <v>0</v>
      </c>
      <c r="F92" t="s">
        <v>19</v>
      </c>
      <c r="G92" t="s">
        <v>20</v>
      </c>
      <c r="H92" t="s">
        <v>18</v>
      </c>
      <c r="I92">
        <v>1</v>
      </c>
      <c r="J92" t="s">
        <v>16</v>
      </c>
      <c r="K92" t="s">
        <v>17</v>
      </c>
      <c r="L92">
        <v>29</v>
      </c>
      <c r="M92" t="str">
        <f t="shared" si="1"/>
        <v>Young Adult</v>
      </c>
      <c r="N92" t="s">
        <v>15</v>
      </c>
    </row>
    <row r="93" spans="1:14" x14ac:dyDescent="0.25">
      <c r="A93">
        <v>28436</v>
      </c>
      <c r="B93" t="s">
        <v>37</v>
      </c>
      <c r="C93" t="s">
        <v>39</v>
      </c>
      <c r="D93" s="5">
        <v>30000</v>
      </c>
      <c r="E93">
        <v>0</v>
      </c>
      <c r="F93" t="s">
        <v>19</v>
      </c>
      <c r="G93" t="s">
        <v>20</v>
      </c>
      <c r="H93" t="s">
        <v>18</v>
      </c>
      <c r="I93">
        <v>1</v>
      </c>
      <c r="J93" t="s">
        <v>16</v>
      </c>
      <c r="K93" t="s">
        <v>17</v>
      </c>
      <c r="L93">
        <v>30</v>
      </c>
      <c r="M93" t="str">
        <f t="shared" si="1"/>
        <v>Middle Age</v>
      </c>
      <c r="N93" t="s">
        <v>15</v>
      </c>
    </row>
    <row r="94" spans="1:14" x14ac:dyDescent="0.25">
      <c r="A94">
        <v>19562</v>
      </c>
      <c r="B94" t="s">
        <v>37</v>
      </c>
      <c r="C94" t="s">
        <v>38</v>
      </c>
      <c r="D94" s="5">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5">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5">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5">
        <v>90000</v>
      </c>
      <c r="E97">
        <v>5</v>
      </c>
      <c r="F97" t="s">
        <v>19</v>
      </c>
      <c r="G97" t="s">
        <v>21</v>
      </c>
      <c r="H97" t="s">
        <v>15</v>
      </c>
      <c r="I97">
        <v>2</v>
      </c>
      <c r="J97" t="s">
        <v>46</v>
      </c>
      <c r="K97" t="s">
        <v>17</v>
      </c>
      <c r="L97">
        <v>62</v>
      </c>
      <c r="M97" t="str">
        <f t="shared" si="1"/>
        <v>Old</v>
      </c>
      <c r="N97" t="s">
        <v>18</v>
      </c>
    </row>
    <row r="98" spans="1:14" x14ac:dyDescent="0.25">
      <c r="A98">
        <v>12507</v>
      </c>
      <c r="B98" t="s">
        <v>36</v>
      </c>
      <c r="C98" t="s">
        <v>39</v>
      </c>
      <c r="D98" s="5">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5">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5">
        <v>40000</v>
      </c>
      <c r="E100">
        <v>0</v>
      </c>
      <c r="F100" t="s">
        <v>31</v>
      </c>
      <c r="G100" t="s">
        <v>20</v>
      </c>
      <c r="H100" t="s">
        <v>15</v>
      </c>
      <c r="I100">
        <v>0</v>
      </c>
      <c r="J100" t="s">
        <v>16</v>
      </c>
      <c r="K100" t="s">
        <v>17</v>
      </c>
      <c r="L100">
        <v>25</v>
      </c>
      <c r="M100" t="str">
        <f t="shared" si="1"/>
        <v>Young Adult</v>
      </c>
      <c r="N100" t="s">
        <v>15</v>
      </c>
    </row>
    <row r="101" spans="1:14" x14ac:dyDescent="0.25">
      <c r="A101">
        <v>26852</v>
      </c>
      <c r="B101" t="s">
        <v>36</v>
      </c>
      <c r="C101" t="s">
        <v>38</v>
      </c>
      <c r="D101" s="5">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5">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5">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5">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5">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5">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5">
        <v>30000</v>
      </c>
      <c r="E107">
        <v>0</v>
      </c>
      <c r="F107" t="s">
        <v>19</v>
      </c>
      <c r="G107" t="s">
        <v>20</v>
      </c>
      <c r="H107" t="s">
        <v>18</v>
      </c>
      <c r="I107">
        <v>1</v>
      </c>
      <c r="J107" t="s">
        <v>22</v>
      </c>
      <c r="K107" t="s">
        <v>17</v>
      </c>
      <c r="L107">
        <v>30</v>
      </c>
      <c r="M107" t="str">
        <f t="shared" si="1"/>
        <v>Middle Age</v>
      </c>
      <c r="N107" t="s">
        <v>18</v>
      </c>
    </row>
    <row r="108" spans="1:14" x14ac:dyDescent="0.25">
      <c r="A108">
        <v>20430</v>
      </c>
      <c r="B108" t="s">
        <v>36</v>
      </c>
      <c r="C108" t="s">
        <v>39</v>
      </c>
      <c r="D108" s="5">
        <v>70000</v>
      </c>
      <c r="E108">
        <v>2</v>
      </c>
      <c r="F108" t="s">
        <v>19</v>
      </c>
      <c r="G108" t="s">
        <v>14</v>
      </c>
      <c r="H108" t="s">
        <v>15</v>
      </c>
      <c r="I108">
        <v>2</v>
      </c>
      <c r="J108" t="s">
        <v>23</v>
      </c>
      <c r="K108" t="s">
        <v>24</v>
      </c>
      <c r="L108">
        <v>52</v>
      </c>
      <c r="M108" t="str">
        <f t="shared" si="1"/>
        <v>Old</v>
      </c>
      <c r="N108" t="s">
        <v>15</v>
      </c>
    </row>
    <row r="109" spans="1:14" x14ac:dyDescent="0.25">
      <c r="A109">
        <v>27494</v>
      </c>
      <c r="B109" t="s">
        <v>37</v>
      </c>
      <c r="C109" t="s">
        <v>38</v>
      </c>
      <c r="D109" s="5">
        <v>40000</v>
      </c>
      <c r="E109">
        <v>2</v>
      </c>
      <c r="F109" t="s">
        <v>19</v>
      </c>
      <c r="G109" t="s">
        <v>14</v>
      </c>
      <c r="H109" t="s">
        <v>18</v>
      </c>
      <c r="I109">
        <v>2</v>
      </c>
      <c r="J109" t="s">
        <v>26</v>
      </c>
      <c r="K109" t="s">
        <v>24</v>
      </c>
      <c r="L109">
        <v>53</v>
      </c>
      <c r="M109" t="str">
        <f t="shared" si="1"/>
        <v>Old</v>
      </c>
      <c r="N109" t="s">
        <v>15</v>
      </c>
    </row>
    <row r="110" spans="1:14" x14ac:dyDescent="0.25">
      <c r="A110">
        <v>26829</v>
      </c>
      <c r="B110" t="s">
        <v>36</v>
      </c>
      <c r="C110" t="s">
        <v>38</v>
      </c>
      <c r="D110" s="5">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5">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5">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5">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5">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5">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5">
        <v>20000</v>
      </c>
      <c r="E116">
        <v>0</v>
      </c>
      <c r="F116" t="s">
        <v>13</v>
      </c>
      <c r="G116" t="s">
        <v>20</v>
      </c>
      <c r="H116" t="s">
        <v>15</v>
      </c>
      <c r="I116">
        <v>0</v>
      </c>
      <c r="J116" t="s">
        <v>16</v>
      </c>
      <c r="K116" t="s">
        <v>24</v>
      </c>
      <c r="L116">
        <v>26</v>
      </c>
      <c r="M116" t="str">
        <f t="shared" si="1"/>
        <v>Young Adult</v>
      </c>
      <c r="N116" t="s">
        <v>15</v>
      </c>
    </row>
    <row r="117" spans="1:14" x14ac:dyDescent="0.25">
      <c r="A117">
        <v>24140</v>
      </c>
      <c r="B117" t="s">
        <v>37</v>
      </c>
      <c r="C117" t="s">
        <v>39</v>
      </c>
      <c r="D117" s="5">
        <v>10000</v>
      </c>
      <c r="E117">
        <v>0</v>
      </c>
      <c r="F117" t="s">
        <v>31</v>
      </c>
      <c r="G117" t="s">
        <v>25</v>
      </c>
      <c r="H117" t="s">
        <v>18</v>
      </c>
      <c r="I117">
        <v>0</v>
      </c>
      <c r="J117" t="s">
        <v>16</v>
      </c>
      <c r="K117" t="s">
        <v>17</v>
      </c>
      <c r="L117">
        <v>30</v>
      </c>
      <c r="M117" t="str">
        <f t="shared" si="1"/>
        <v>Middle Age</v>
      </c>
      <c r="N117" t="s">
        <v>15</v>
      </c>
    </row>
    <row r="118" spans="1:14" x14ac:dyDescent="0.25">
      <c r="A118">
        <v>22496</v>
      </c>
      <c r="B118" t="s">
        <v>36</v>
      </c>
      <c r="C118" t="s">
        <v>38</v>
      </c>
      <c r="D118" s="5">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5">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5">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5">
        <v>30000</v>
      </c>
      <c r="E121">
        <v>0</v>
      </c>
      <c r="F121" t="s">
        <v>19</v>
      </c>
      <c r="G121" t="s">
        <v>20</v>
      </c>
      <c r="H121" t="s">
        <v>18</v>
      </c>
      <c r="I121">
        <v>1</v>
      </c>
      <c r="J121" t="s">
        <v>22</v>
      </c>
      <c r="K121" t="s">
        <v>17</v>
      </c>
      <c r="L121">
        <v>29</v>
      </c>
      <c r="M121" t="str">
        <f t="shared" si="1"/>
        <v>Young Adult</v>
      </c>
      <c r="N121" t="s">
        <v>18</v>
      </c>
    </row>
    <row r="122" spans="1:14" x14ac:dyDescent="0.25">
      <c r="A122">
        <v>22988</v>
      </c>
      <c r="B122" t="s">
        <v>36</v>
      </c>
      <c r="C122" t="s">
        <v>38</v>
      </c>
      <c r="D122" s="5">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5">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5">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38</v>
      </c>
      <c r="D125" s="5">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5">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5">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5">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5">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5">
        <v>10000</v>
      </c>
      <c r="E130">
        <v>2</v>
      </c>
      <c r="F130" t="s">
        <v>19</v>
      </c>
      <c r="G130" t="s">
        <v>25</v>
      </c>
      <c r="H130" t="s">
        <v>15</v>
      </c>
      <c r="I130">
        <v>1</v>
      </c>
      <c r="J130" t="s">
        <v>16</v>
      </c>
      <c r="K130" t="s">
        <v>17</v>
      </c>
      <c r="L130">
        <v>52</v>
      </c>
      <c r="M130" t="str">
        <f t="shared" si="1"/>
        <v>Old</v>
      </c>
      <c r="N130" t="s">
        <v>15</v>
      </c>
    </row>
    <row r="131" spans="1:14" x14ac:dyDescent="0.25">
      <c r="A131">
        <v>26818</v>
      </c>
      <c r="B131" t="s">
        <v>37</v>
      </c>
      <c r="C131" t="s">
        <v>39</v>
      </c>
      <c r="D131" s="5">
        <v>10000</v>
      </c>
      <c r="E131">
        <v>3</v>
      </c>
      <c r="F131" t="s">
        <v>27</v>
      </c>
      <c r="G131" t="s">
        <v>25</v>
      </c>
      <c r="H131" t="s">
        <v>15</v>
      </c>
      <c r="I131">
        <v>1</v>
      </c>
      <c r="J131" t="s">
        <v>16</v>
      </c>
      <c r="K131" t="s">
        <v>17</v>
      </c>
      <c r="L131">
        <v>39</v>
      </c>
      <c r="M131" t="str">
        <f t="shared" ref="M131:M194" si="2">IF(L131&gt;=50,"Old",IF(L131&gt;=30,"Middle Age",IF(L131&lt;30,"Young Adult","Invalid")))</f>
        <v>Middle Age</v>
      </c>
      <c r="N131" t="s">
        <v>15</v>
      </c>
    </row>
    <row r="132" spans="1:14" x14ac:dyDescent="0.25">
      <c r="A132">
        <v>12993</v>
      </c>
      <c r="B132" t="s">
        <v>36</v>
      </c>
      <c r="C132" t="s">
        <v>39</v>
      </c>
      <c r="D132" s="5">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5">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5">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5">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5">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5">
        <v>10000</v>
      </c>
      <c r="E137">
        <v>2</v>
      </c>
      <c r="F137" t="s">
        <v>19</v>
      </c>
      <c r="G137" t="s">
        <v>25</v>
      </c>
      <c r="H137" t="s">
        <v>15</v>
      </c>
      <c r="I137">
        <v>1</v>
      </c>
      <c r="J137" t="s">
        <v>22</v>
      </c>
      <c r="K137" t="s">
        <v>17</v>
      </c>
      <c r="L137">
        <v>52</v>
      </c>
      <c r="M137" t="str">
        <f t="shared" si="2"/>
        <v>Old</v>
      </c>
      <c r="N137" t="s">
        <v>18</v>
      </c>
    </row>
    <row r="138" spans="1:14" x14ac:dyDescent="0.25">
      <c r="A138">
        <v>28683</v>
      </c>
      <c r="B138" t="s">
        <v>37</v>
      </c>
      <c r="C138" t="s">
        <v>38</v>
      </c>
      <c r="D138" s="5">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5">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5">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5">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5">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5">
        <v>10000</v>
      </c>
      <c r="E143">
        <v>0</v>
      </c>
      <c r="F143" t="s">
        <v>19</v>
      </c>
      <c r="G143" t="s">
        <v>25</v>
      </c>
      <c r="H143" t="s">
        <v>18</v>
      </c>
      <c r="I143">
        <v>1</v>
      </c>
      <c r="J143" t="s">
        <v>16</v>
      </c>
      <c r="K143" t="s">
        <v>24</v>
      </c>
      <c r="L143">
        <v>26</v>
      </c>
      <c r="M143" t="str">
        <f t="shared" si="2"/>
        <v>Young Adult</v>
      </c>
      <c r="N143" t="s">
        <v>15</v>
      </c>
    </row>
    <row r="144" spans="1:14" x14ac:dyDescent="0.25">
      <c r="A144">
        <v>14832</v>
      </c>
      <c r="B144" t="s">
        <v>36</v>
      </c>
      <c r="C144" t="s">
        <v>39</v>
      </c>
      <c r="D144" s="5">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5">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39</v>
      </c>
      <c r="D146" s="5">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5">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5">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5">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5">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5">
        <v>30000</v>
      </c>
      <c r="E151">
        <v>0</v>
      </c>
      <c r="F151" t="s">
        <v>19</v>
      </c>
      <c r="G151" t="s">
        <v>20</v>
      </c>
      <c r="H151" t="s">
        <v>18</v>
      </c>
      <c r="I151">
        <v>1</v>
      </c>
      <c r="J151" t="s">
        <v>26</v>
      </c>
      <c r="K151" t="s">
        <v>17</v>
      </c>
      <c r="L151">
        <v>27</v>
      </c>
      <c r="M151" t="str">
        <f t="shared" si="2"/>
        <v>Young Adult</v>
      </c>
      <c r="N151" t="s">
        <v>18</v>
      </c>
    </row>
    <row r="152" spans="1:14" x14ac:dyDescent="0.25">
      <c r="A152">
        <v>26154</v>
      </c>
      <c r="B152" t="s">
        <v>36</v>
      </c>
      <c r="C152" t="s">
        <v>39</v>
      </c>
      <c r="D152" s="5">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5">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5">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5">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5">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5">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5">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5">
        <v>10000</v>
      </c>
      <c r="E159">
        <v>2</v>
      </c>
      <c r="F159" t="s">
        <v>19</v>
      </c>
      <c r="G159" t="s">
        <v>25</v>
      </c>
      <c r="H159" t="s">
        <v>18</v>
      </c>
      <c r="I159">
        <v>0</v>
      </c>
      <c r="J159" t="s">
        <v>16</v>
      </c>
      <c r="K159" t="s">
        <v>17</v>
      </c>
      <c r="L159">
        <v>50</v>
      </c>
      <c r="M159" t="str">
        <f t="shared" si="2"/>
        <v>Old</v>
      </c>
      <c r="N159" t="s">
        <v>18</v>
      </c>
    </row>
    <row r="160" spans="1:14" x14ac:dyDescent="0.25">
      <c r="A160">
        <v>25605</v>
      </c>
      <c r="B160" t="s">
        <v>37</v>
      </c>
      <c r="C160" t="s">
        <v>38</v>
      </c>
      <c r="D160" s="5">
        <v>20000</v>
      </c>
      <c r="E160">
        <v>2</v>
      </c>
      <c r="F160" t="s">
        <v>19</v>
      </c>
      <c r="G160" t="s">
        <v>25</v>
      </c>
      <c r="H160" t="s">
        <v>18</v>
      </c>
      <c r="I160">
        <v>1</v>
      </c>
      <c r="J160" t="s">
        <v>16</v>
      </c>
      <c r="K160" t="s">
        <v>17</v>
      </c>
      <c r="L160">
        <v>54</v>
      </c>
      <c r="M160" t="str">
        <f t="shared" si="2"/>
        <v>Old</v>
      </c>
      <c r="N160" t="s">
        <v>15</v>
      </c>
    </row>
    <row r="161" spans="1:14" x14ac:dyDescent="0.25">
      <c r="A161">
        <v>20797</v>
      </c>
      <c r="B161" t="s">
        <v>36</v>
      </c>
      <c r="C161" t="s">
        <v>38</v>
      </c>
      <c r="D161" s="5">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5">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5">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5">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5">
        <v>40000</v>
      </c>
      <c r="E165">
        <v>2</v>
      </c>
      <c r="F165" t="s">
        <v>19</v>
      </c>
      <c r="G165" t="s">
        <v>14</v>
      </c>
      <c r="H165" t="s">
        <v>18</v>
      </c>
      <c r="I165">
        <v>2</v>
      </c>
      <c r="J165" t="s">
        <v>26</v>
      </c>
      <c r="K165" t="s">
        <v>24</v>
      </c>
      <c r="L165">
        <v>52</v>
      </c>
      <c r="M165" t="str">
        <f t="shared" si="2"/>
        <v>Old</v>
      </c>
      <c r="N165" t="s">
        <v>18</v>
      </c>
    </row>
    <row r="166" spans="1:14" x14ac:dyDescent="0.25">
      <c r="A166">
        <v>22402</v>
      </c>
      <c r="B166" t="s">
        <v>36</v>
      </c>
      <c r="C166" t="s">
        <v>39</v>
      </c>
      <c r="D166" s="5">
        <v>10000</v>
      </c>
      <c r="E166">
        <v>0</v>
      </c>
      <c r="F166" t="s">
        <v>19</v>
      </c>
      <c r="G166" t="s">
        <v>25</v>
      </c>
      <c r="H166" t="s">
        <v>15</v>
      </c>
      <c r="I166">
        <v>1</v>
      </c>
      <c r="J166" t="s">
        <v>22</v>
      </c>
      <c r="K166" t="s">
        <v>24</v>
      </c>
      <c r="L166">
        <v>25</v>
      </c>
      <c r="M166" t="str">
        <f t="shared" si="2"/>
        <v>Young Adult</v>
      </c>
      <c r="N166" t="s">
        <v>15</v>
      </c>
    </row>
    <row r="167" spans="1:14" x14ac:dyDescent="0.25">
      <c r="A167">
        <v>15465</v>
      </c>
      <c r="B167" t="s">
        <v>36</v>
      </c>
      <c r="C167" t="s">
        <v>38</v>
      </c>
      <c r="D167" s="5">
        <v>10000</v>
      </c>
      <c r="E167">
        <v>0</v>
      </c>
      <c r="F167" t="s">
        <v>19</v>
      </c>
      <c r="G167" t="s">
        <v>25</v>
      </c>
      <c r="H167" t="s">
        <v>18</v>
      </c>
      <c r="I167">
        <v>1</v>
      </c>
      <c r="J167" t="s">
        <v>16</v>
      </c>
      <c r="K167" t="s">
        <v>24</v>
      </c>
      <c r="L167">
        <v>25</v>
      </c>
      <c r="M167" t="str">
        <f t="shared" si="2"/>
        <v>Young Adult</v>
      </c>
      <c r="N167" t="s">
        <v>18</v>
      </c>
    </row>
    <row r="168" spans="1:14" x14ac:dyDescent="0.25">
      <c r="A168">
        <v>26757</v>
      </c>
      <c r="B168" t="s">
        <v>37</v>
      </c>
      <c r="C168" t="s">
        <v>39</v>
      </c>
      <c r="D168" s="5">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5">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39</v>
      </c>
      <c r="D170" s="5">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5">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5">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5">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5">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5">
        <v>10000</v>
      </c>
      <c r="E175">
        <v>0</v>
      </c>
      <c r="F175" t="s">
        <v>19</v>
      </c>
      <c r="G175" t="s">
        <v>25</v>
      </c>
      <c r="H175" t="s">
        <v>15</v>
      </c>
      <c r="I175">
        <v>1</v>
      </c>
      <c r="J175" t="s">
        <v>22</v>
      </c>
      <c r="K175" t="s">
        <v>24</v>
      </c>
      <c r="L175">
        <v>27</v>
      </c>
      <c r="M175" t="str">
        <f t="shared" si="2"/>
        <v>Young Adult</v>
      </c>
      <c r="N175" t="s">
        <v>18</v>
      </c>
    </row>
    <row r="176" spans="1:14" x14ac:dyDescent="0.25">
      <c r="A176">
        <v>19442</v>
      </c>
      <c r="B176" t="s">
        <v>37</v>
      </c>
      <c r="C176" t="s">
        <v>39</v>
      </c>
      <c r="D176" s="5">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5">
        <v>80000</v>
      </c>
      <c r="E177">
        <v>2</v>
      </c>
      <c r="F177" t="s">
        <v>19</v>
      </c>
      <c r="G177" t="s">
        <v>14</v>
      </c>
      <c r="H177" t="s">
        <v>15</v>
      </c>
      <c r="I177">
        <v>2</v>
      </c>
      <c r="J177" t="s">
        <v>23</v>
      </c>
      <c r="K177" t="s">
        <v>24</v>
      </c>
      <c r="L177">
        <v>52</v>
      </c>
      <c r="M177" t="str">
        <f t="shared" si="2"/>
        <v>Old</v>
      </c>
      <c r="N177" t="s">
        <v>15</v>
      </c>
    </row>
    <row r="178" spans="1:14" x14ac:dyDescent="0.25">
      <c r="A178">
        <v>12253</v>
      </c>
      <c r="B178" t="s">
        <v>37</v>
      </c>
      <c r="C178" t="s">
        <v>38</v>
      </c>
      <c r="D178" s="5">
        <v>20000</v>
      </c>
      <c r="E178">
        <v>0</v>
      </c>
      <c r="F178" t="s">
        <v>19</v>
      </c>
      <c r="G178" t="s">
        <v>25</v>
      </c>
      <c r="H178" t="s">
        <v>15</v>
      </c>
      <c r="I178">
        <v>0</v>
      </c>
      <c r="J178" t="s">
        <v>16</v>
      </c>
      <c r="K178" t="s">
        <v>24</v>
      </c>
      <c r="L178">
        <v>29</v>
      </c>
      <c r="M178" t="str">
        <f t="shared" si="2"/>
        <v>Young Adult</v>
      </c>
      <c r="N178" t="s">
        <v>15</v>
      </c>
    </row>
    <row r="179" spans="1:14" x14ac:dyDescent="0.25">
      <c r="A179">
        <v>27304</v>
      </c>
      <c r="B179" t="s">
        <v>37</v>
      </c>
      <c r="C179" t="s">
        <v>38</v>
      </c>
      <c r="D179" s="5">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5">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38</v>
      </c>
      <c r="D181" s="5">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5">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5">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5">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5">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5">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38</v>
      </c>
      <c r="D187" s="5">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5">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5">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38</v>
      </c>
      <c r="D190" s="5">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39</v>
      </c>
      <c r="D191" s="5">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5">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5">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5">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38</v>
      </c>
      <c r="D195" s="5">
        <v>70000</v>
      </c>
      <c r="E195">
        <v>5</v>
      </c>
      <c r="F195" t="s">
        <v>13</v>
      </c>
      <c r="G195" t="s">
        <v>21</v>
      </c>
      <c r="H195" t="s">
        <v>15</v>
      </c>
      <c r="I195">
        <v>4</v>
      </c>
      <c r="J195" t="s">
        <v>46</v>
      </c>
      <c r="K195" t="s">
        <v>24</v>
      </c>
      <c r="L195">
        <v>41</v>
      </c>
      <c r="M195" t="str">
        <f t="shared" ref="M195:M258" si="3">IF(L195&gt;=50,"Old",IF(L195&gt;=30,"Middle Age",IF(L195&lt;30,"Young Adult","Invalid")))</f>
        <v>Middle Age</v>
      </c>
      <c r="N195" t="s">
        <v>18</v>
      </c>
    </row>
    <row r="196" spans="1:14" x14ac:dyDescent="0.25">
      <c r="A196">
        <v>17843</v>
      </c>
      <c r="B196" t="s">
        <v>37</v>
      </c>
      <c r="C196" t="s">
        <v>38</v>
      </c>
      <c r="D196" s="5">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5">
        <v>20000</v>
      </c>
      <c r="E197">
        <v>0</v>
      </c>
      <c r="F197" t="s">
        <v>13</v>
      </c>
      <c r="G197" t="s">
        <v>20</v>
      </c>
      <c r="H197" t="s">
        <v>15</v>
      </c>
      <c r="I197">
        <v>0</v>
      </c>
      <c r="J197" t="s">
        <v>16</v>
      </c>
      <c r="K197" t="s">
        <v>24</v>
      </c>
      <c r="L197">
        <v>25</v>
      </c>
      <c r="M197" t="str">
        <f t="shared" si="3"/>
        <v>Young Adult</v>
      </c>
      <c r="N197" t="s">
        <v>15</v>
      </c>
    </row>
    <row r="198" spans="1:14" x14ac:dyDescent="0.25">
      <c r="A198">
        <v>16209</v>
      </c>
      <c r="B198" t="s">
        <v>37</v>
      </c>
      <c r="C198" t="s">
        <v>38</v>
      </c>
      <c r="D198" s="5">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5">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5">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5">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39</v>
      </c>
      <c r="D202" s="5">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5">
        <v>10000</v>
      </c>
      <c r="E203">
        <v>1</v>
      </c>
      <c r="F203" t="s">
        <v>27</v>
      </c>
      <c r="G203" t="s">
        <v>25</v>
      </c>
      <c r="H203" t="s">
        <v>15</v>
      </c>
      <c r="I203">
        <v>0</v>
      </c>
      <c r="J203" t="s">
        <v>22</v>
      </c>
      <c r="K203" t="s">
        <v>24</v>
      </c>
      <c r="L203">
        <v>27</v>
      </c>
      <c r="M203" t="str">
        <f t="shared" si="3"/>
        <v>Young Adult</v>
      </c>
      <c r="N203" t="s">
        <v>15</v>
      </c>
    </row>
    <row r="204" spans="1:14" x14ac:dyDescent="0.25">
      <c r="A204">
        <v>18626</v>
      </c>
      <c r="B204" t="s">
        <v>37</v>
      </c>
      <c r="C204" t="s">
        <v>39</v>
      </c>
      <c r="D204" s="5">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5">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5">
        <v>90000</v>
      </c>
      <c r="E206">
        <v>3</v>
      </c>
      <c r="F206" t="s">
        <v>27</v>
      </c>
      <c r="G206" t="s">
        <v>21</v>
      </c>
      <c r="H206" t="s">
        <v>18</v>
      </c>
      <c r="I206">
        <v>1</v>
      </c>
      <c r="J206" t="s">
        <v>22</v>
      </c>
      <c r="K206" t="s">
        <v>17</v>
      </c>
      <c r="L206">
        <v>51</v>
      </c>
      <c r="M206" t="str">
        <f t="shared" si="3"/>
        <v>Old</v>
      </c>
      <c r="N206" t="s">
        <v>18</v>
      </c>
    </row>
    <row r="207" spans="1:14" x14ac:dyDescent="0.25">
      <c r="A207">
        <v>15657</v>
      </c>
      <c r="B207" t="s">
        <v>36</v>
      </c>
      <c r="C207" t="s">
        <v>39</v>
      </c>
      <c r="D207" s="5">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5">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38</v>
      </c>
      <c r="D209" s="5">
        <v>20000</v>
      </c>
      <c r="E209">
        <v>0</v>
      </c>
      <c r="F209" t="s">
        <v>29</v>
      </c>
      <c r="G209" t="s">
        <v>25</v>
      </c>
      <c r="H209" t="s">
        <v>15</v>
      </c>
      <c r="I209">
        <v>2</v>
      </c>
      <c r="J209" t="s">
        <v>26</v>
      </c>
      <c r="K209" t="s">
        <v>17</v>
      </c>
      <c r="L209">
        <v>26</v>
      </c>
      <c r="M209" t="str">
        <f t="shared" si="3"/>
        <v>Young Adult</v>
      </c>
      <c r="N209" t="s">
        <v>15</v>
      </c>
    </row>
    <row r="210" spans="1:14" x14ac:dyDescent="0.25">
      <c r="A210">
        <v>22633</v>
      </c>
      <c r="B210" t="s">
        <v>37</v>
      </c>
      <c r="C210" t="s">
        <v>38</v>
      </c>
      <c r="D210" s="5">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5">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5">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5">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5">
        <v>30000</v>
      </c>
      <c r="E214">
        <v>0</v>
      </c>
      <c r="F214" t="s">
        <v>19</v>
      </c>
      <c r="G214" t="s">
        <v>20</v>
      </c>
      <c r="H214" t="s">
        <v>18</v>
      </c>
      <c r="I214">
        <v>1</v>
      </c>
      <c r="J214" t="s">
        <v>22</v>
      </c>
      <c r="K214" t="s">
        <v>17</v>
      </c>
      <c r="L214">
        <v>30</v>
      </c>
      <c r="M214" t="str">
        <f t="shared" si="3"/>
        <v>Middle Age</v>
      </c>
      <c r="N214" t="s">
        <v>18</v>
      </c>
    </row>
    <row r="215" spans="1:14" x14ac:dyDescent="0.25">
      <c r="A215">
        <v>11451</v>
      </c>
      <c r="B215" t="s">
        <v>37</v>
      </c>
      <c r="C215" t="s">
        <v>39</v>
      </c>
      <c r="D215" s="5">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39</v>
      </c>
      <c r="D216" s="5">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5">
        <v>80000</v>
      </c>
      <c r="E217">
        <v>4</v>
      </c>
      <c r="F217" t="s">
        <v>19</v>
      </c>
      <c r="G217" t="s">
        <v>21</v>
      </c>
      <c r="H217" t="s">
        <v>18</v>
      </c>
      <c r="I217">
        <v>2</v>
      </c>
      <c r="J217" t="s">
        <v>22</v>
      </c>
      <c r="K217" t="s">
        <v>17</v>
      </c>
      <c r="L217">
        <v>54</v>
      </c>
      <c r="M217" t="str">
        <f t="shared" si="3"/>
        <v>Old</v>
      </c>
      <c r="N217" t="s">
        <v>15</v>
      </c>
    </row>
    <row r="218" spans="1:14" x14ac:dyDescent="0.25">
      <c r="A218">
        <v>25026</v>
      </c>
      <c r="B218" t="s">
        <v>36</v>
      </c>
      <c r="C218" t="s">
        <v>39</v>
      </c>
      <c r="D218" s="5">
        <v>20000</v>
      </c>
      <c r="E218">
        <v>2</v>
      </c>
      <c r="F218" t="s">
        <v>29</v>
      </c>
      <c r="G218" t="s">
        <v>20</v>
      </c>
      <c r="H218" t="s">
        <v>15</v>
      </c>
      <c r="I218">
        <v>3</v>
      </c>
      <c r="J218" t="s">
        <v>23</v>
      </c>
      <c r="K218" t="s">
        <v>24</v>
      </c>
      <c r="L218">
        <v>54</v>
      </c>
      <c r="M218" t="str">
        <f t="shared" si="3"/>
        <v>Old</v>
      </c>
      <c r="N218" t="s">
        <v>18</v>
      </c>
    </row>
    <row r="219" spans="1:14" x14ac:dyDescent="0.25">
      <c r="A219">
        <v>13673</v>
      </c>
      <c r="B219" t="s">
        <v>37</v>
      </c>
      <c r="C219" t="s">
        <v>38</v>
      </c>
      <c r="D219" s="5">
        <v>20000</v>
      </c>
      <c r="E219">
        <v>0</v>
      </c>
      <c r="F219" t="s">
        <v>29</v>
      </c>
      <c r="G219" t="s">
        <v>25</v>
      </c>
      <c r="H219" t="s">
        <v>18</v>
      </c>
      <c r="I219">
        <v>2</v>
      </c>
      <c r="J219" t="s">
        <v>16</v>
      </c>
      <c r="K219" t="s">
        <v>17</v>
      </c>
      <c r="L219">
        <v>25</v>
      </c>
      <c r="M219" t="str">
        <f t="shared" si="3"/>
        <v>Young Adult</v>
      </c>
      <c r="N219" t="s">
        <v>18</v>
      </c>
    </row>
    <row r="220" spans="1:14" x14ac:dyDescent="0.25">
      <c r="A220">
        <v>16043</v>
      </c>
      <c r="B220" t="s">
        <v>37</v>
      </c>
      <c r="C220" t="s">
        <v>39</v>
      </c>
      <c r="D220" s="5">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5">
        <v>10000</v>
      </c>
      <c r="E221">
        <v>0</v>
      </c>
      <c r="F221" t="s">
        <v>19</v>
      </c>
      <c r="G221" t="s">
        <v>25</v>
      </c>
      <c r="H221" t="s">
        <v>15</v>
      </c>
      <c r="I221">
        <v>1</v>
      </c>
      <c r="J221" t="s">
        <v>26</v>
      </c>
      <c r="K221" t="s">
        <v>24</v>
      </c>
      <c r="L221">
        <v>26</v>
      </c>
      <c r="M221" t="str">
        <f t="shared" si="3"/>
        <v>Young Adult</v>
      </c>
      <c r="N221" t="s">
        <v>15</v>
      </c>
    </row>
    <row r="222" spans="1:14" x14ac:dyDescent="0.25">
      <c r="A222">
        <v>27696</v>
      </c>
      <c r="B222" t="s">
        <v>36</v>
      </c>
      <c r="C222" t="s">
        <v>39</v>
      </c>
      <c r="D222" s="5">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5">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5">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5">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38</v>
      </c>
      <c r="D226" s="5">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5">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5">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5">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5">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5">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39</v>
      </c>
      <c r="D232" s="5">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38</v>
      </c>
      <c r="D233" s="5">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5">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5">
        <v>20000</v>
      </c>
      <c r="E235">
        <v>0</v>
      </c>
      <c r="F235" t="s">
        <v>13</v>
      </c>
      <c r="G235" t="s">
        <v>20</v>
      </c>
      <c r="H235" t="s">
        <v>15</v>
      </c>
      <c r="I235">
        <v>0</v>
      </c>
      <c r="J235" t="s">
        <v>16</v>
      </c>
      <c r="K235" t="s">
        <v>24</v>
      </c>
      <c r="L235">
        <v>27</v>
      </c>
      <c r="M235" t="str">
        <f t="shared" si="3"/>
        <v>Young Adult</v>
      </c>
      <c r="N235" t="s">
        <v>15</v>
      </c>
    </row>
    <row r="236" spans="1:14" x14ac:dyDescent="0.25">
      <c r="A236">
        <v>24611</v>
      </c>
      <c r="B236" t="s">
        <v>37</v>
      </c>
      <c r="C236" t="s">
        <v>39</v>
      </c>
      <c r="D236" s="5">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38</v>
      </c>
      <c r="D237" s="5">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5">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5">
        <v>10000</v>
      </c>
      <c r="E239">
        <v>0</v>
      </c>
      <c r="F239" t="s">
        <v>19</v>
      </c>
      <c r="G239" t="s">
        <v>25</v>
      </c>
      <c r="H239" t="s">
        <v>18</v>
      </c>
      <c r="I239">
        <v>1</v>
      </c>
      <c r="J239" t="s">
        <v>16</v>
      </c>
      <c r="K239" t="s">
        <v>24</v>
      </c>
      <c r="L239">
        <v>26</v>
      </c>
      <c r="M239" t="str">
        <f t="shared" si="3"/>
        <v>Young Adult</v>
      </c>
      <c r="N239" t="s">
        <v>15</v>
      </c>
    </row>
    <row r="240" spans="1:14" x14ac:dyDescent="0.25">
      <c r="A240">
        <v>22006</v>
      </c>
      <c r="B240" t="s">
        <v>36</v>
      </c>
      <c r="C240" t="s">
        <v>39</v>
      </c>
      <c r="D240" s="5">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5">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5">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5">
        <v>30000</v>
      </c>
      <c r="E243">
        <v>3</v>
      </c>
      <c r="F243" t="s">
        <v>19</v>
      </c>
      <c r="G243" t="s">
        <v>20</v>
      </c>
      <c r="H243" t="s">
        <v>15</v>
      </c>
      <c r="I243">
        <v>2</v>
      </c>
      <c r="J243" t="s">
        <v>16</v>
      </c>
      <c r="K243" t="s">
        <v>17</v>
      </c>
      <c r="L243">
        <v>27</v>
      </c>
      <c r="M243" t="str">
        <f t="shared" si="3"/>
        <v>Young Adult</v>
      </c>
      <c r="N243" t="s">
        <v>18</v>
      </c>
    </row>
    <row r="244" spans="1:14" x14ac:dyDescent="0.25">
      <c r="A244">
        <v>23908</v>
      </c>
      <c r="B244" t="s">
        <v>37</v>
      </c>
      <c r="C244" t="s">
        <v>39</v>
      </c>
      <c r="D244" s="5">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5">
        <v>20000</v>
      </c>
      <c r="E245">
        <v>0</v>
      </c>
      <c r="F245" t="s">
        <v>27</v>
      </c>
      <c r="G245" t="s">
        <v>25</v>
      </c>
      <c r="H245" t="s">
        <v>18</v>
      </c>
      <c r="I245">
        <v>1</v>
      </c>
      <c r="J245" t="s">
        <v>22</v>
      </c>
      <c r="K245" t="s">
        <v>17</v>
      </c>
      <c r="L245">
        <v>29</v>
      </c>
      <c r="M245" t="str">
        <f t="shared" si="3"/>
        <v>Young Adult</v>
      </c>
      <c r="N245" t="s">
        <v>18</v>
      </c>
    </row>
    <row r="246" spans="1:14" x14ac:dyDescent="0.25">
      <c r="A246">
        <v>19057</v>
      </c>
      <c r="B246" t="s">
        <v>36</v>
      </c>
      <c r="C246" t="s">
        <v>38</v>
      </c>
      <c r="D246" s="5">
        <v>120000</v>
      </c>
      <c r="E246">
        <v>3</v>
      </c>
      <c r="F246" t="s">
        <v>13</v>
      </c>
      <c r="G246" t="s">
        <v>28</v>
      </c>
      <c r="H246" t="s">
        <v>18</v>
      </c>
      <c r="I246">
        <v>2</v>
      </c>
      <c r="J246" t="s">
        <v>46</v>
      </c>
      <c r="K246" t="s">
        <v>17</v>
      </c>
      <c r="L246">
        <v>52</v>
      </c>
      <c r="M246" t="str">
        <f t="shared" si="3"/>
        <v>Old</v>
      </c>
      <c r="N246" t="s">
        <v>15</v>
      </c>
    </row>
    <row r="247" spans="1:14" x14ac:dyDescent="0.25">
      <c r="A247">
        <v>18494</v>
      </c>
      <c r="B247" t="s">
        <v>36</v>
      </c>
      <c r="C247" t="s">
        <v>39</v>
      </c>
      <c r="D247" s="5">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5">
        <v>130000</v>
      </c>
      <c r="E248">
        <v>3</v>
      </c>
      <c r="F248" t="s">
        <v>19</v>
      </c>
      <c r="G248" t="s">
        <v>21</v>
      </c>
      <c r="H248" t="s">
        <v>15</v>
      </c>
      <c r="I248">
        <v>3</v>
      </c>
      <c r="J248" t="s">
        <v>16</v>
      </c>
      <c r="K248" t="s">
        <v>17</v>
      </c>
      <c r="L248">
        <v>51</v>
      </c>
      <c r="M248" t="str">
        <f t="shared" si="3"/>
        <v>Old</v>
      </c>
      <c r="N248" t="s">
        <v>15</v>
      </c>
    </row>
    <row r="249" spans="1:14" x14ac:dyDescent="0.25">
      <c r="A249">
        <v>21568</v>
      </c>
      <c r="B249" t="s">
        <v>36</v>
      </c>
      <c r="C249" t="s">
        <v>38</v>
      </c>
      <c r="D249" s="5">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38</v>
      </c>
      <c r="D250" s="5">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5">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5">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5">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5">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5">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39</v>
      </c>
      <c r="D256" s="5">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5">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5">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5">
        <v>50000</v>
      </c>
      <c r="E259">
        <v>0</v>
      </c>
      <c r="F259" t="s">
        <v>31</v>
      </c>
      <c r="G259" t="s">
        <v>14</v>
      </c>
      <c r="H259" t="s">
        <v>15</v>
      </c>
      <c r="I259">
        <v>0</v>
      </c>
      <c r="J259" t="s">
        <v>16</v>
      </c>
      <c r="K259" t="s">
        <v>17</v>
      </c>
      <c r="L259">
        <v>36</v>
      </c>
      <c r="M259" t="str">
        <f t="shared" ref="M259:M322" si="4">IF(L259&gt;=50,"Old",IF(L259&gt;=30,"Middle Age",IF(L259&lt;30,"Young Adult","Invalid")))</f>
        <v>Middle Age</v>
      </c>
      <c r="N259" t="s">
        <v>15</v>
      </c>
    </row>
    <row r="260" spans="1:14" x14ac:dyDescent="0.25">
      <c r="A260">
        <v>14193</v>
      </c>
      <c r="B260" t="s">
        <v>37</v>
      </c>
      <c r="C260" t="s">
        <v>38</v>
      </c>
      <c r="D260" s="5">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39</v>
      </c>
      <c r="D261" s="5">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5">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5">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5">
        <v>10000</v>
      </c>
      <c r="E264">
        <v>2</v>
      </c>
      <c r="F264" t="s">
        <v>19</v>
      </c>
      <c r="G264" t="s">
        <v>25</v>
      </c>
      <c r="H264" t="s">
        <v>15</v>
      </c>
      <c r="I264">
        <v>0</v>
      </c>
      <c r="J264" t="s">
        <v>26</v>
      </c>
      <c r="K264" t="s">
        <v>17</v>
      </c>
      <c r="L264">
        <v>51</v>
      </c>
      <c r="M264" t="str">
        <f t="shared" si="4"/>
        <v>Old</v>
      </c>
      <c r="N264" t="s">
        <v>18</v>
      </c>
    </row>
    <row r="265" spans="1:14" x14ac:dyDescent="0.25">
      <c r="A265">
        <v>23419</v>
      </c>
      <c r="B265" t="s">
        <v>37</v>
      </c>
      <c r="C265" t="s">
        <v>38</v>
      </c>
      <c r="D265" s="5">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39</v>
      </c>
      <c r="D266" s="5">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5">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5">
        <v>20000</v>
      </c>
      <c r="E268">
        <v>5</v>
      </c>
      <c r="F268" t="s">
        <v>27</v>
      </c>
      <c r="G268" t="s">
        <v>25</v>
      </c>
      <c r="H268" t="s">
        <v>15</v>
      </c>
      <c r="I268">
        <v>2</v>
      </c>
      <c r="J268" t="s">
        <v>16</v>
      </c>
      <c r="K268" t="s">
        <v>17</v>
      </c>
      <c r="L268">
        <v>27</v>
      </c>
      <c r="M268" t="str">
        <f t="shared" si="4"/>
        <v>Young Adult</v>
      </c>
      <c r="N268" t="s">
        <v>18</v>
      </c>
    </row>
    <row r="269" spans="1:14" x14ac:dyDescent="0.25">
      <c r="A269">
        <v>13133</v>
      </c>
      <c r="B269" t="s">
        <v>37</v>
      </c>
      <c r="C269" t="s">
        <v>39</v>
      </c>
      <c r="D269" s="5">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5">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5">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5">
        <v>10000</v>
      </c>
      <c r="E272">
        <v>2</v>
      </c>
      <c r="F272" t="s">
        <v>19</v>
      </c>
      <c r="G272" t="s">
        <v>25</v>
      </c>
      <c r="H272" t="s">
        <v>15</v>
      </c>
      <c r="I272">
        <v>0</v>
      </c>
      <c r="J272" t="s">
        <v>16</v>
      </c>
      <c r="K272" t="s">
        <v>17</v>
      </c>
      <c r="L272">
        <v>51</v>
      </c>
      <c r="M272" t="str">
        <f t="shared" si="4"/>
        <v>Old</v>
      </c>
      <c r="N272" t="s">
        <v>15</v>
      </c>
    </row>
    <row r="273" spans="1:14" x14ac:dyDescent="0.25">
      <c r="A273">
        <v>25665</v>
      </c>
      <c r="B273" t="s">
        <v>37</v>
      </c>
      <c r="C273" t="s">
        <v>38</v>
      </c>
      <c r="D273" s="5">
        <v>20000</v>
      </c>
      <c r="E273">
        <v>0</v>
      </c>
      <c r="F273" t="s">
        <v>27</v>
      </c>
      <c r="G273" t="s">
        <v>25</v>
      </c>
      <c r="H273" t="s">
        <v>18</v>
      </c>
      <c r="I273">
        <v>1</v>
      </c>
      <c r="J273" t="s">
        <v>26</v>
      </c>
      <c r="K273" t="s">
        <v>17</v>
      </c>
      <c r="L273">
        <v>28</v>
      </c>
      <c r="M273" t="str">
        <f t="shared" si="4"/>
        <v>Young Adult</v>
      </c>
      <c r="N273" t="s">
        <v>18</v>
      </c>
    </row>
    <row r="274" spans="1:14" x14ac:dyDescent="0.25">
      <c r="A274">
        <v>24061</v>
      </c>
      <c r="B274" t="s">
        <v>36</v>
      </c>
      <c r="C274" t="s">
        <v>39</v>
      </c>
      <c r="D274" s="5">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5">
        <v>20000</v>
      </c>
      <c r="E275">
        <v>0</v>
      </c>
      <c r="F275" t="s">
        <v>27</v>
      </c>
      <c r="G275" t="s">
        <v>25</v>
      </c>
      <c r="H275" t="s">
        <v>18</v>
      </c>
      <c r="I275">
        <v>1</v>
      </c>
      <c r="J275" t="s">
        <v>22</v>
      </c>
      <c r="K275" t="s">
        <v>17</v>
      </c>
      <c r="L275">
        <v>30</v>
      </c>
      <c r="M275" t="str">
        <f t="shared" si="4"/>
        <v>Middle Age</v>
      </c>
      <c r="N275" t="s">
        <v>18</v>
      </c>
    </row>
    <row r="276" spans="1:14" x14ac:dyDescent="0.25">
      <c r="A276">
        <v>12284</v>
      </c>
      <c r="B276" t="s">
        <v>36</v>
      </c>
      <c r="C276" t="s">
        <v>38</v>
      </c>
      <c r="D276" s="5">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5">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5">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5">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5">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39</v>
      </c>
      <c r="D281" s="5">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5">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5">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5">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5">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5">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5">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5">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5">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5">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5">
        <v>30000</v>
      </c>
      <c r="E291">
        <v>3</v>
      </c>
      <c r="F291" t="s">
        <v>27</v>
      </c>
      <c r="G291" t="s">
        <v>14</v>
      </c>
      <c r="H291" t="s">
        <v>15</v>
      </c>
      <c r="I291">
        <v>2</v>
      </c>
      <c r="J291" t="s">
        <v>23</v>
      </c>
      <c r="K291" t="s">
        <v>24</v>
      </c>
      <c r="L291">
        <v>54</v>
      </c>
      <c r="M291" t="str">
        <f t="shared" si="4"/>
        <v>Old</v>
      </c>
      <c r="N291" t="s">
        <v>15</v>
      </c>
    </row>
    <row r="292" spans="1:14" x14ac:dyDescent="0.25">
      <c r="A292">
        <v>28319</v>
      </c>
      <c r="B292" t="s">
        <v>37</v>
      </c>
      <c r="C292" t="s">
        <v>38</v>
      </c>
      <c r="D292" s="5">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5">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5">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5">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5">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5">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38</v>
      </c>
      <c r="D298" s="5">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5">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5">
        <v>90000</v>
      </c>
      <c r="E300">
        <v>4</v>
      </c>
      <c r="F300" t="s">
        <v>27</v>
      </c>
      <c r="G300" t="s">
        <v>21</v>
      </c>
      <c r="H300" t="s">
        <v>18</v>
      </c>
      <c r="I300">
        <v>2</v>
      </c>
      <c r="J300" t="s">
        <v>22</v>
      </c>
      <c r="K300" t="s">
        <v>17</v>
      </c>
      <c r="L300">
        <v>54</v>
      </c>
      <c r="M300" t="str">
        <f t="shared" si="4"/>
        <v>Old</v>
      </c>
      <c r="N300" t="s">
        <v>15</v>
      </c>
    </row>
    <row r="301" spans="1:14" x14ac:dyDescent="0.25">
      <c r="A301">
        <v>13136</v>
      </c>
      <c r="B301" t="s">
        <v>36</v>
      </c>
      <c r="C301" t="s">
        <v>38</v>
      </c>
      <c r="D301" s="5">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5">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5">
        <v>40000</v>
      </c>
      <c r="E303">
        <v>0</v>
      </c>
      <c r="F303" t="s">
        <v>13</v>
      </c>
      <c r="G303" t="s">
        <v>20</v>
      </c>
      <c r="H303" t="s">
        <v>18</v>
      </c>
      <c r="I303">
        <v>0</v>
      </c>
      <c r="J303" t="s">
        <v>16</v>
      </c>
      <c r="K303" t="s">
        <v>24</v>
      </c>
      <c r="L303">
        <v>28</v>
      </c>
      <c r="M303" t="str">
        <f t="shared" si="4"/>
        <v>Young Adult</v>
      </c>
      <c r="N303" t="s">
        <v>15</v>
      </c>
    </row>
    <row r="304" spans="1:14" x14ac:dyDescent="0.25">
      <c r="A304">
        <v>26928</v>
      </c>
      <c r="B304" t="s">
        <v>37</v>
      </c>
      <c r="C304" t="s">
        <v>39</v>
      </c>
      <c r="D304" s="5">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5">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5">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5">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5">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5">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5">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5">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5">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5">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5">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5">
        <v>40000</v>
      </c>
      <c r="E315">
        <v>3</v>
      </c>
      <c r="F315" t="s">
        <v>29</v>
      </c>
      <c r="G315" t="s">
        <v>20</v>
      </c>
      <c r="H315" t="s">
        <v>18</v>
      </c>
      <c r="I315">
        <v>2</v>
      </c>
      <c r="J315" t="s">
        <v>23</v>
      </c>
      <c r="K315" t="s">
        <v>24</v>
      </c>
      <c r="L315">
        <v>52</v>
      </c>
      <c r="M315" t="str">
        <f t="shared" si="4"/>
        <v>Old</v>
      </c>
      <c r="N315" t="s">
        <v>15</v>
      </c>
    </row>
    <row r="316" spans="1:14" x14ac:dyDescent="0.25">
      <c r="A316">
        <v>18740</v>
      </c>
      <c r="B316" t="s">
        <v>36</v>
      </c>
      <c r="C316" t="s">
        <v>39</v>
      </c>
      <c r="D316" s="5">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5">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5">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5">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5">
        <v>130000</v>
      </c>
      <c r="E320">
        <v>4</v>
      </c>
      <c r="F320" t="s">
        <v>19</v>
      </c>
      <c r="G320" t="s">
        <v>21</v>
      </c>
      <c r="H320" t="s">
        <v>18</v>
      </c>
      <c r="I320">
        <v>3</v>
      </c>
      <c r="J320" t="s">
        <v>46</v>
      </c>
      <c r="K320" t="s">
        <v>17</v>
      </c>
      <c r="L320">
        <v>54</v>
      </c>
      <c r="M320" t="str">
        <f t="shared" si="4"/>
        <v>Old</v>
      </c>
      <c r="N320" t="s">
        <v>18</v>
      </c>
    </row>
    <row r="321" spans="1:14" x14ac:dyDescent="0.25">
      <c r="A321">
        <v>11386</v>
      </c>
      <c r="B321" t="s">
        <v>36</v>
      </c>
      <c r="C321" t="s">
        <v>38</v>
      </c>
      <c r="D321" s="5">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5">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5">
        <v>160000</v>
      </c>
      <c r="E323">
        <v>0</v>
      </c>
      <c r="F323" t="s">
        <v>31</v>
      </c>
      <c r="G323" t="s">
        <v>28</v>
      </c>
      <c r="H323" t="s">
        <v>18</v>
      </c>
      <c r="I323">
        <v>3</v>
      </c>
      <c r="J323" t="s">
        <v>16</v>
      </c>
      <c r="K323" t="s">
        <v>24</v>
      </c>
      <c r="L323">
        <v>47</v>
      </c>
      <c r="M323" t="str">
        <f t="shared" ref="M323:M386" si="5">IF(L323&gt;=50,"Old",IF(L323&gt;=30,"Middle Age",IF(L323&lt;30,"Young Adult","Invalid")))</f>
        <v>Middle Age</v>
      </c>
      <c r="N323" t="s">
        <v>15</v>
      </c>
    </row>
    <row r="324" spans="1:14" x14ac:dyDescent="0.25">
      <c r="A324">
        <v>16410</v>
      </c>
      <c r="B324" t="s">
        <v>37</v>
      </c>
      <c r="C324" t="s">
        <v>38</v>
      </c>
      <c r="D324" s="5">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5">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5">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5">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5">
        <v>20000</v>
      </c>
      <c r="E328">
        <v>0</v>
      </c>
      <c r="F328" t="s">
        <v>13</v>
      </c>
      <c r="G328" t="s">
        <v>20</v>
      </c>
      <c r="H328" t="s">
        <v>18</v>
      </c>
      <c r="I328">
        <v>0</v>
      </c>
      <c r="J328" t="s">
        <v>16</v>
      </c>
      <c r="K328" t="s">
        <v>24</v>
      </c>
      <c r="L328">
        <v>26</v>
      </c>
      <c r="M328" t="str">
        <f t="shared" si="5"/>
        <v>Young Adult</v>
      </c>
      <c r="N328" t="s">
        <v>15</v>
      </c>
    </row>
    <row r="329" spans="1:14" x14ac:dyDescent="0.25">
      <c r="A329">
        <v>28379</v>
      </c>
      <c r="B329" t="s">
        <v>36</v>
      </c>
      <c r="C329" t="s">
        <v>39</v>
      </c>
      <c r="D329" s="5">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5">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5">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38</v>
      </c>
      <c r="D332" s="5">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39</v>
      </c>
      <c r="D333" s="5">
        <v>10000</v>
      </c>
      <c r="E333">
        <v>0</v>
      </c>
      <c r="F333" t="s">
        <v>29</v>
      </c>
      <c r="G333" t="s">
        <v>25</v>
      </c>
      <c r="H333" t="s">
        <v>18</v>
      </c>
      <c r="I333">
        <v>2</v>
      </c>
      <c r="J333" t="s">
        <v>16</v>
      </c>
      <c r="K333" t="s">
        <v>17</v>
      </c>
      <c r="L333">
        <v>30</v>
      </c>
      <c r="M333" t="str">
        <f t="shared" si="5"/>
        <v>Middle Age</v>
      </c>
      <c r="N333" t="s">
        <v>18</v>
      </c>
    </row>
    <row r="334" spans="1:14" x14ac:dyDescent="0.25">
      <c r="A334">
        <v>11489</v>
      </c>
      <c r="B334" t="s">
        <v>37</v>
      </c>
      <c r="C334" t="s">
        <v>38</v>
      </c>
      <c r="D334" s="5">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5">
        <v>130000</v>
      </c>
      <c r="E335">
        <v>3</v>
      </c>
      <c r="F335" t="s">
        <v>27</v>
      </c>
      <c r="G335" t="s">
        <v>21</v>
      </c>
      <c r="H335" t="s">
        <v>15</v>
      </c>
      <c r="I335">
        <v>4</v>
      </c>
      <c r="J335" t="s">
        <v>23</v>
      </c>
      <c r="K335" t="s">
        <v>17</v>
      </c>
      <c r="L335">
        <v>51</v>
      </c>
      <c r="M335" t="str">
        <f t="shared" si="5"/>
        <v>Old</v>
      </c>
      <c r="N335" t="s">
        <v>15</v>
      </c>
    </row>
    <row r="336" spans="1:14" x14ac:dyDescent="0.25">
      <c r="A336">
        <v>25241</v>
      </c>
      <c r="B336" t="s">
        <v>36</v>
      </c>
      <c r="C336" t="s">
        <v>39</v>
      </c>
      <c r="D336" s="5">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5">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5">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5">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5">
        <v>120000</v>
      </c>
      <c r="E340">
        <v>3</v>
      </c>
      <c r="F340" t="s">
        <v>27</v>
      </c>
      <c r="G340" t="s">
        <v>21</v>
      </c>
      <c r="H340" t="s">
        <v>15</v>
      </c>
      <c r="I340">
        <v>4</v>
      </c>
      <c r="J340" t="s">
        <v>23</v>
      </c>
      <c r="K340" t="s">
        <v>17</v>
      </c>
      <c r="L340">
        <v>50</v>
      </c>
      <c r="M340" t="str">
        <f t="shared" si="5"/>
        <v>Old</v>
      </c>
      <c r="N340" t="s">
        <v>15</v>
      </c>
    </row>
    <row r="341" spans="1:14" x14ac:dyDescent="0.25">
      <c r="A341">
        <v>14554</v>
      </c>
      <c r="B341" t="s">
        <v>36</v>
      </c>
      <c r="C341" t="s">
        <v>39</v>
      </c>
      <c r="D341" s="5">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5">
        <v>30000</v>
      </c>
      <c r="E342">
        <v>0</v>
      </c>
      <c r="F342" t="s">
        <v>19</v>
      </c>
      <c r="G342" t="s">
        <v>20</v>
      </c>
      <c r="H342" t="s">
        <v>15</v>
      </c>
      <c r="I342">
        <v>1</v>
      </c>
      <c r="J342" t="s">
        <v>22</v>
      </c>
      <c r="K342" t="s">
        <v>17</v>
      </c>
      <c r="L342">
        <v>30</v>
      </c>
      <c r="M342" t="str">
        <f t="shared" si="5"/>
        <v>Middle Age</v>
      </c>
      <c r="N342" t="s">
        <v>18</v>
      </c>
    </row>
    <row r="343" spans="1:14" x14ac:dyDescent="0.25">
      <c r="A343">
        <v>19174</v>
      </c>
      <c r="B343" t="s">
        <v>37</v>
      </c>
      <c r="C343" t="s">
        <v>38</v>
      </c>
      <c r="D343" s="5">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5">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5">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5">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5">
        <v>20000</v>
      </c>
      <c r="E347">
        <v>1</v>
      </c>
      <c r="F347" t="s">
        <v>13</v>
      </c>
      <c r="G347" t="s">
        <v>20</v>
      </c>
      <c r="H347" t="s">
        <v>15</v>
      </c>
      <c r="I347">
        <v>0</v>
      </c>
      <c r="J347" t="s">
        <v>16</v>
      </c>
      <c r="K347" t="s">
        <v>17</v>
      </c>
      <c r="L347">
        <v>50</v>
      </c>
      <c r="M347" t="str">
        <f t="shared" si="5"/>
        <v>Old</v>
      </c>
      <c r="N347" t="s">
        <v>15</v>
      </c>
    </row>
    <row r="348" spans="1:14" x14ac:dyDescent="0.25">
      <c r="A348">
        <v>25651</v>
      </c>
      <c r="B348" t="s">
        <v>36</v>
      </c>
      <c r="C348" t="s">
        <v>39</v>
      </c>
      <c r="D348" s="5">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5">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5">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5">
        <v>30000</v>
      </c>
      <c r="E351">
        <v>0</v>
      </c>
      <c r="F351" t="s">
        <v>19</v>
      </c>
      <c r="G351" t="s">
        <v>20</v>
      </c>
      <c r="H351" t="s">
        <v>18</v>
      </c>
      <c r="I351">
        <v>1</v>
      </c>
      <c r="J351" t="s">
        <v>16</v>
      </c>
      <c r="K351" t="s">
        <v>17</v>
      </c>
      <c r="L351">
        <v>29</v>
      </c>
      <c r="M351" t="str">
        <f t="shared" si="5"/>
        <v>Young Adult</v>
      </c>
      <c r="N351" t="s">
        <v>15</v>
      </c>
    </row>
    <row r="352" spans="1:14" x14ac:dyDescent="0.25">
      <c r="A352">
        <v>27878</v>
      </c>
      <c r="B352" t="s">
        <v>37</v>
      </c>
      <c r="C352" t="s">
        <v>39</v>
      </c>
      <c r="D352" s="5">
        <v>20000</v>
      </c>
      <c r="E352">
        <v>0</v>
      </c>
      <c r="F352" t="s">
        <v>19</v>
      </c>
      <c r="G352" t="s">
        <v>25</v>
      </c>
      <c r="H352" t="s">
        <v>18</v>
      </c>
      <c r="I352">
        <v>0</v>
      </c>
      <c r="J352" t="s">
        <v>16</v>
      </c>
      <c r="K352" t="s">
        <v>24</v>
      </c>
      <c r="L352">
        <v>28</v>
      </c>
      <c r="M352" t="str">
        <f t="shared" si="5"/>
        <v>Young Adult</v>
      </c>
      <c r="N352" t="s">
        <v>15</v>
      </c>
    </row>
    <row r="353" spans="1:14" x14ac:dyDescent="0.25">
      <c r="A353">
        <v>13572</v>
      </c>
      <c r="B353" t="s">
        <v>37</v>
      </c>
      <c r="C353" t="s">
        <v>39</v>
      </c>
      <c r="D353" s="5">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5">
        <v>80000</v>
      </c>
      <c r="E354">
        <v>4</v>
      </c>
      <c r="F354" t="s">
        <v>19</v>
      </c>
      <c r="G354" t="s">
        <v>21</v>
      </c>
      <c r="H354" t="s">
        <v>15</v>
      </c>
      <c r="I354">
        <v>2</v>
      </c>
      <c r="J354" t="s">
        <v>22</v>
      </c>
      <c r="K354" t="s">
        <v>17</v>
      </c>
      <c r="L354">
        <v>53</v>
      </c>
      <c r="M354" t="str">
        <f t="shared" si="5"/>
        <v>Old</v>
      </c>
      <c r="N354" t="s">
        <v>18</v>
      </c>
    </row>
    <row r="355" spans="1:14" x14ac:dyDescent="0.25">
      <c r="A355">
        <v>26354</v>
      </c>
      <c r="B355" t="s">
        <v>37</v>
      </c>
      <c r="C355" t="s">
        <v>39</v>
      </c>
      <c r="D355" s="5">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5">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5">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38</v>
      </c>
      <c r="D358" s="5">
        <v>150000</v>
      </c>
      <c r="E358">
        <v>3</v>
      </c>
      <c r="F358" t="s">
        <v>27</v>
      </c>
      <c r="G358" t="s">
        <v>21</v>
      </c>
      <c r="H358" t="s">
        <v>15</v>
      </c>
      <c r="I358">
        <v>3</v>
      </c>
      <c r="J358" t="s">
        <v>16</v>
      </c>
      <c r="K358" t="s">
        <v>17</v>
      </c>
      <c r="L358">
        <v>51</v>
      </c>
      <c r="M358" t="str">
        <f t="shared" si="5"/>
        <v>Old</v>
      </c>
      <c r="N358" t="s">
        <v>15</v>
      </c>
    </row>
    <row r="359" spans="1:14" x14ac:dyDescent="0.25">
      <c r="A359">
        <v>22538</v>
      </c>
      <c r="B359" t="s">
        <v>37</v>
      </c>
      <c r="C359" t="s">
        <v>38</v>
      </c>
      <c r="D359" s="5">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5">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5">
        <v>80000</v>
      </c>
      <c r="E361">
        <v>0</v>
      </c>
      <c r="F361" t="s">
        <v>13</v>
      </c>
      <c r="G361" t="s">
        <v>21</v>
      </c>
      <c r="H361" t="s">
        <v>15</v>
      </c>
      <c r="I361">
        <v>3</v>
      </c>
      <c r="J361" t="s">
        <v>46</v>
      </c>
      <c r="K361" t="s">
        <v>24</v>
      </c>
      <c r="L361">
        <v>30</v>
      </c>
      <c r="M361" t="str">
        <f t="shared" si="5"/>
        <v>Middle Age</v>
      </c>
      <c r="N361" t="s">
        <v>18</v>
      </c>
    </row>
    <row r="362" spans="1:14" x14ac:dyDescent="0.25">
      <c r="A362">
        <v>13082</v>
      </c>
      <c r="B362" t="s">
        <v>37</v>
      </c>
      <c r="C362" t="s">
        <v>39</v>
      </c>
      <c r="D362" s="5">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5">
        <v>30000</v>
      </c>
      <c r="E363">
        <v>3</v>
      </c>
      <c r="F363" t="s">
        <v>19</v>
      </c>
      <c r="G363" t="s">
        <v>20</v>
      </c>
      <c r="H363" t="s">
        <v>18</v>
      </c>
      <c r="I363">
        <v>2</v>
      </c>
      <c r="J363" t="s">
        <v>16</v>
      </c>
      <c r="K363" t="s">
        <v>17</v>
      </c>
      <c r="L363">
        <v>27</v>
      </c>
      <c r="M363" t="str">
        <f t="shared" si="5"/>
        <v>Young Adult</v>
      </c>
      <c r="N363" t="s">
        <v>15</v>
      </c>
    </row>
    <row r="364" spans="1:14" x14ac:dyDescent="0.25">
      <c r="A364">
        <v>13687</v>
      </c>
      <c r="B364" t="s">
        <v>36</v>
      </c>
      <c r="C364" t="s">
        <v>39</v>
      </c>
      <c r="D364" s="5">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5">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5">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5">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5">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5">
        <v>130000</v>
      </c>
      <c r="E369">
        <v>3</v>
      </c>
      <c r="F369" t="s">
        <v>19</v>
      </c>
      <c r="G369" t="s">
        <v>21</v>
      </c>
      <c r="H369" t="s">
        <v>15</v>
      </c>
      <c r="I369">
        <v>3</v>
      </c>
      <c r="J369" t="s">
        <v>23</v>
      </c>
      <c r="K369" t="s">
        <v>17</v>
      </c>
      <c r="L369">
        <v>50</v>
      </c>
      <c r="M369" t="str">
        <f t="shared" si="5"/>
        <v>Old</v>
      </c>
      <c r="N369" t="s">
        <v>15</v>
      </c>
    </row>
    <row r="370" spans="1:14" x14ac:dyDescent="0.25">
      <c r="A370">
        <v>25918</v>
      </c>
      <c r="B370" t="s">
        <v>37</v>
      </c>
      <c r="C370" t="s">
        <v>38</v>
      </c>
      <c r="D370" s="5">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5">
        <v>20000</v>
      </c>
      <c r="E371">
        <v>2</v>
      </c>
      <c r="F371" t="s">
        <v>19</v>
      </c>
      <c r="G371" t="s">
        <v>25</v>
      </c>
      <c r="H371" t="s">
        <v>18</v>
      </c>
      <c r="I371">
        <v>1</v>
      </c>
      <c r="J371" t="s">
        <v>16</v>
      </c>
      <c r="K371" t="s">
        <v>17</v>
      </c>
      <c r="L371">
        <v>53</v>
      </c>
      <c r="M371" t="str">
        <f t="shared" si="5"/>
        <v>Old</v>
      </c>
      <c r="N371" t="s">
        <v>15</v>
      </c>
    </row>
    <row r="372" spans="1:14" x14ac:dyDescent="0.25">
      <c r="A372">
        <v>17324</v>
      </c>
      <c r="B372" t="s">
        <v>36</v>
      </c>
      <c r="C372" t="s">
        <v>38</v>
      </c>
      <c r="D372" s="5">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39</v>
      </c>
      <c r="D373" s="5">
        <v>80000</v>
      </c>
      <c r="E373">
        <v>5</v>
      </c>
      <c r="F373" t="s">
        <v>31</v>
      </c>
      <c r="G373" t="s">
        <v>28</v>
      </c>
      <c r="H373" t="s">
        <v>15</v>
      </c>
      <c r="I373">
        <v>3</v>
      </c>
      <c r="J373" t="s">
        <v>16</v>
      </c>
      <c r="K373" t="s">
        <v>24</v>
      </c>
      <c r="L373">
        <v>50</v>
      </c>
      <c r="M373" t="str">
        <f t="shared" si="5"/>
        <v>Old</v>
      </c>
      <c r="N373" t="s">
        <v>18</v>
      </c>
    </row>
    <row r="374" spans="1:14" x14ac:dyDescent="0.25">
      <c r="A374">
        <v>12510</v>
      </c>
      <c r="B374" t="s">
        <v>36</v>
      </c>
      <c r="C374" t="s">
        <v>39</v>
      </c>
      <c r="D374" s="5">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5">
        <v>20000</v>
      </c>
      <c r="E375">
        <v>0</v>
      </c>
      <c r="F375" t="s">
        <v>27</v>
      </c>
      <c r="G375" t="s">
        <v>25</v>
      </c>
      <c r="H375" t="s">
        <v>18</v>
      </c>
      <c r="I375">
        <v>1</v>
      </c>
      <c r="J375" t="s">
        <v>22</v>
      </c>
      <c r="K375" t="s">
        <v>17</v>
      </c>
      <c r="L375">
        <v>30</v>
      </c>
      <c r="M375" t="str">
        <f t="shared" si="5"/>
        <v>Middle Age</v>
      </c>
      <c r="N375" t="s">
        <v>18</v>
      </c>
    </row>
    <row r="376" spans="1:14" x14ac:dyDescent="0.25">
      <c r="A376">
        <v>16179</v>
      </c>
      <c r="B376" t="s">
        <v>37</v>
      </c>
      <c r="C376" t="s">
        <v>38</v>
      </c>
      <c r="D376" s="5">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5">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5">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5">
        <v>130000</v>
      </c>
      <c r="E379">
        <v>3</v>
      </c>
      <c r="F379" t="s">
        <v>19</v>
      </c>
      <c r="G379" t="s">
        <v>21</v>
      </c>
      <c r="H379" t="s">
        <v>18</v>
      </c>
      <c r="I379">
        <v>3</v>
      </c>
      <c r="J379" t="s">
        <v>23</v>
      </c>
      <c r="K379" t="s">
        <v>17</v>
      </c>
      <c r="L379">
        <v>51</v>
      </c>
      <c r="M379" t="str">
        <f t="shared" si="5"/>
        <v>Old</v>
      </c>
      <c r="N379" t="s">
        <v>15</v>
      </c>
    </row>
    <row r="380" spans="1:14" x14ac:dyDescent="0.25">
      <c r="A380">
        <v>20417</v>
      </c>
      <c r="B380" t="s">
        <v>36</v>
      </c>
      <c r="C380" t="s">
        <v>39</v>
      </c>
      <c r="D380" s="5">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5">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5">
        <v>70000</v>
      </c>
      <c r="E382">
        <v>0</v>
      </c>
      <c r="F382" t="s">
        <v>13</v>
      </c>
      <c r="G382" t="s">
        <v>21</v>
      </c>
      <c r="H382" t="s">
        <v>18</v>
      </c>
      <c r="I382">
        <v>3</v>
      </c>
      <c r="J382" t="s">
        <v>46</v>
      </c>
      <c r="K382" t="s">
        <v>24</v>
      </c>
      <c r="L382">
        <v>30</v>
      </c>
      <c r="M382" t="str">
        <f t="shared" si="5"/>
        <v>Middle Age</v>
      </c>
      <c r="N382" t="s">
        <v>15</v>
      </c>
    </row>
    <row r="383" spans="1:14" x14ac:dyDescent="0.25">
      <c r="A383">
        <v>22974</v>
      </c>
      <c r="B383" t="s">
        <v>36</v>
      </c>
      <c r="C383" t="s">
        <v>38</v>
      </c>
      <c r="D383" s="5">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5">
        <v>80000</v>
      </c>
      <c r="E384">
        <v>4</v>
      </c>
      <c r="F384" t="s">
        <v>19</v>
      </c>
      <c r="G384" t="s">
        <v>21</v>
      </c>
      <c r="H384" t="s">
        <v>15</v>
      </c>
      <c r="I384">
        <v>2</v>
      </c>
      <c r="J384" t="s">
        <v>46</v>
      </c>
      <c r="K384" t="s">
        <v>17</v>
      </c>
      <c r="L384">
        <v>53</v>
      </c>
      <c r="M384" t="str">
        <f t="shared" si="5"/>
        <v>Old</v>
      </c>
      <c r="N384" t="s">
        <v>18</v>
      </c>
    </row>
    <row r="385" spans="1:14" x14ac:dyDescent="0.25">
      <c r="A385">
        <v>17978</v>
      </c>
      <c r="B385" t="s">
        <v>36</v>
      </c>
      <c r="C385" t="s">
        <v>39</v>
      </c>
      <c r="D385" s="5">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5">
        <v>10000</v>
      </c>
      <c r="E386">
        <v>0</v>
      </c>
      <c r="F386" t="s">
        <v>19</v>
      </c>
      <c r="G386" t="s">
        <v>25</v>
      </c>
      <c r="H386" t="s">
        <v>18</v>
      </c>
      <c r="I386">
        <v>1</v>
      </c>
      <c r="J386" t="s">
        <v>16</v>
      </c>
      <c r="K386" t="s">
        <v>24</v>
      </c>
      <c r="L386">
        <v>28</v>
      </c>
      <c r="M386" t="str">
        <f t="shared" si="5"/>
        <v>Young Adult</v>
      </c>
      <c r="N386" t="s">
        <v>15</v>
      </c>
    </row>
    <row r="387" spans="1:14" x14ac:dyDescent="0.25">
      <c r="A387">
        <v>18018</v>
      </c>
      <c r="B387" t="s">
        <v>37</v>
      </c>
      <c r="C387" t="s">
        <v>39</v>
      </c>
      <c r="D387" s="5">
        <v>30000</v>
      </c>
      <c r="E387">
        <v>3</v>
      </c>
      <c r="F387" t="s">
        <v>19</v>
      </c>
      <c r="G387" t="s">
        <v>20</v>
      </c>
      <c r="H387" t="s">
        <v>15</v>
      </c>
      <c r="I387">
        <v>0</v>
      </c>
      <c r="J387" t="s">
        <v>16</v>
      </c>
      <c r="K387" t="s">
        <v>17</v>
      </c>
      <c r="L387">
        <v>43</v>
      </c>
      <c r="M387" t="str">
        <f t="shared" ref="M387:M450" si="6">IF(L387&gt;=50,"Old",IF(L387&gt;=30,"Middle Age",IF(L387&lt;30,"Young Adult","Invalid")))</f>
        <v>Middle Age</v>
      </c>
      <c r="N387" t="s">
        <v>18</v>
      </c>
    </row>
    <row r="388" spans="1:14" x14ac:dyDescent="0.25">
      <c r="A388">
        <v>28957</v>
      </c>
      <c r="B388" t="s">
        <v>37</v>
      </c>
      <c r="C388" t="s">
        <v>38</v>
      </c>
      <c r="D388" s="5">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38</v>
      </c>
      <c r="D389" s="5">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5">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5">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5">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5">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5">
        <v>20000</v>
      </c>
      <c r="E394">
        <v>1</v>
      </c>
      <c r="F394" t="s">
        <v>13</v>
      </c>
      <c r="G394" t="s">
        <v>20</v>
      </c>
      <c r="H394" t="s">
        <v>18</v>
      </c>
      <c r="I394">
        <v>0</v>
      </c>
      <c r="J394" t="s">
        <v>16</v>
      </c>
      <c r="K394" t="s">
        <v>17</v>
      </c>
      <c r="L394">
        <v>51</v>
      </c>
      <c r="M394" t="str">
        <f t="shared" si="6"/>
        <v>Old</v>
      </c>
      <c r="N394" t="s">
        <v>18</v>
      </c>
    </row>
    <row r="395" spans="1:14" x14ac:dyDescent="0.25">
      <c r="A395">
        <v>23962</v>
      </c>
      <c r="B395" t="s">
        <v>36</v>
      </c>
      <c r="C395" t="s">
        <v>38</v>
      </c>
      <c r="D395" s="5">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5">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5">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5">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5">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5">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5">
        <v>40000</v>
      </c>
      <c r="E401">
        <v>2</v>
      </c>
      <c r="F401" t="s">
        <v>13</v>
      </c>
      <c r="G401" t="s">
        <v>28</v>
      </c>
      <c r="H401" t="s">
        <v>18</v>
      </c>
      <c r="I401">
        <v>1</v>
      </c>
      <c r="J401" t="s">
        <v>23</v>
      </c>
      <c r="K401" t="s">
        <v>24</v>
      </c>
      <c r="L401">
        <v>53</v>
      </c>
      <c r="M401" t="str">
        <f t="shared" si="6"/>
        <v>Old</v>
      </c>
      <c r="N401" t="s">
        <v>15</v>
      </c>
    </row>
    <row r="402" spans="1:14" x14ac:dyDescent="0.25">
      <c r="A402">
        <v>25792</v>
      </c>
      <c r="B402" t="s">
        <v>37</v>
      </c>
      <c r="C402" t="s">
        <v>38</v>
      </c>
      <c r="D402" s="5">
        <v>110000</v>
      </c>
      <c r="E402">
        <v>3</v>
      </c>
      <c r="F402" t="s">
        <v>13</v>
      </c>
      <c r="G402" t="s">
        <v>28</v>
      </c>
      <c r="H402" t="s">
        <v>15</v>
      </c>
      <c r="I402">
        <v>4</v>
      </c>
      <c r="J402" t="s">
        <v>46</v>
      </c>
      <c r="K402" t="s">
        <v>17</v>
      </c>
      <c r="L402">
        <v>53</v>
      </c>
      <c r="M402" t="str">
        <f t="shared" si="6"/>
        <v>Old</v>
      </c>
      <c r="N402" t="s">
        <v>18</v>
      </c>
    </row>
    <row r="403" spans="1:14" x14ac:dyDescent="0.25">
      <c r="A403">
        <v>11555</v>
      </c>
      <c r="B403" t="s">
        <v>36</v>
      </c>
      <c r="C403" t="s">
        <v>38</v>
      </c>
      <c r="D403" s="5">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5">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5">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5">
        <v>30000</v>
      </c>
      <c r="E406">
        <v>3</v>
      </c>
      <c r="F406" t="s">
        <v>27</v>
      </c>
      <c r="G406" t="s">
        <v>14</v>
      </c>
      <c r="H406" t="s">
        <v>15</v>
      </c>
      <c r="I406">
        <v>2</v>
      </c>
      <c r="J406" t="s">
        <v>23</v>
      </c>
      <c r="K406" t="s">
        <v>24</v>
      </c>
      <c r="L406">
        <v>54</v>
      </c>
      <c r="M406" t="str">
        <f t="shared" si="6"/>
        <v>Old</v>
      </c>
      <c r="N406" t="s">
        <v>15</v>
      </c>
    </row>
    <row r="407" spans="1:14" x14ac:dyDescent="0.25">
      <c r="A407">
        <v>22439</v>
      </c>
      <c r="B407" t="s">
        <v>36</v>
      </c>
      <c r="C407" t="s">
        <v>38</v>
      </c>
      <c r="D407" s="5">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5">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5">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5">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5">
        <v>130000</v>
      </c>
      <c r="E411">
        <v>3</v>
      </c>
      <c r="F411" t="s">
        <v>19</v>
      </c>
      <c r="G411" t="s">
        <v>21</v>
      </c>
      <c r="H411" t="s">
        <v>15</v>
      </c>
      <c r="I411">
        <v>4</v>
      </c>
      <c r="J411" t="s">
        <v>16</v>
      </c>
      <c r="K411" t="s">
        <v>17</v>
      </c>
      <c r="L411">
        <v>52</v>
      </c>
      <c r="M411" t="str">
        <f t="shared" si="6"/>
        <v>Old</v>
      </c>
      <c r="N411" t="s">
        <v>18</v>
      </c>
    </row>
    <row r="412" spans="1:14" x14ac:dyDescent="0.25">
      <c r="A412">
        <v>20171</v>
      </c>
      <c r="B412" t="s">
        <v>36</v>
      </c>
      <c r="C412" t="s">
        <v>38</v>
      </c>
      <c r="D412" s="5">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5">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5">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5">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5">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5">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5">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5">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5">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5">
        <v>10000</v>
      </c>
      <c r="E421">
        <v>2</v>
      </c>
      <c r="F421" t="s">
        <v>19</v>
      </c>
      <c r="G421" t="s">
        <v>25</v>
      </c>
      <c r="H421" t="s">
        <v>15</v>
      </c>
      <c r="I421">
        <v>1</v>
      </c>
      <c r="J421" t="s">
        <v>16</v>
      </c>
      <c r="K421" t="s">
        <v>17</v>
      </c>
      <c r="L421">
        <v>51</v>
      </c>
      <c r="M421" t="str">
        <f t="shared" si="6"/>
        <v>Old</v>
      </c>
      <c r="N421" t="s">
        <v>15</v>
      </c>
    </row>
    <row r="422" spans="1:14" x14ac:dyDescent="0.25">
      <c r="A422">
        <v>18153</v>
      </c>
      <c r="B422" t="s">
        <v>36</v>
      </c>
      <c r="C422" t="s">
        <v>38</v>
      </c>
      <c r="D422" s="5">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39</v>
      </c>
      <c r="D423" s="5">
        <v>10000</v>
      </c>
      <c r="E423">
        <v>2</v>
      </c>
      <c r="F423" t="s">
        <v>19</v>
      </c>
      <c r="G423" t="s">
        <v>25</v>
      </c>
      <c r="H423" t="s">
        <v>15</v>
      </c>
      <c r="I423">
        <v>0</v>
      </c>
      <c r="J423" t="s">
        <v>26</v>
      </c>
      <c r="K423" t="s">
        <v>17</v>
      </c>
      <c r="L423">
        <v>51</v>
      </c>
      <c r="M423" t="str">
        <f t="shared" si="6"/>
        <v>Old</v>
      </c>
      <c r="N423" t="s">
        <v>18</v>
      </c>
    </row>
    <row r="424" spans="1:14" x14ac:dyDescent="0.25">
      <c r="A424">
        <v>24901</v>
      </c>
      <c r="B424" t="s">
        <v>37</v>
      </c>
      <c r="C424" t="s">
        <v>39</v>
      </c>
      <c r="D424" s="5">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39</v>
      </c>
      <c r="D425" s="5">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5">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5">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5">
        <v>30000</v>
      </c>
      <c r="E428">
        <v>0</v>
      </c>
      <c r="F428" t="s">
        <v>19</v>
      </c>
      <c r="G428" t="s">
        <v>20</v>
      </c>
      <c r="H428" t="s">
        <v>18</v>
      </c>
      <c r="I428">
        <v>1</v>
      </c>
      <c r="J428" t="s">
        <v>22</v>
      </c>
      <c r="K428" t="s">
        <v>17</v>
      </c>
      <c r="L428">
        <v>28</v>
      </c>
      <c r="M428" t="str">
        <f t="shared" si="6"/>
        <v>Young Adult</v>
      </c>
      <c r="N428" t="s">
        <v>18</v>
      </c>
    </row>
    <row r="429" spans="1:14" x14ac:dyDescent="0.25">
      <c r="A429">
        <v>17048</v>
      </c>
      <c r="B429" t="s">
        <v>37</v>
      </c>
      <c r="C429" t="s">
        <v>38</v>
      </c>
      <c r="D429" s="5">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5">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5">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5">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5">
        <v>20000</v>
      </c>
      <c r="E433">
        <v>0</v>
      </c>
      <c r="F433" t="s">
        <v>19</v>
      </c>
      <c r="G433" t="s">
        <v>25</v>
      </c>
      <c r="H433" t="s">
        <v>15</v>
      </c>
      <c r="I433">
        <v>0</v>
      </c>
      <c r="J433" t="s">
        <v>16</v>
      </c>
      <c r="K433" t="s">
        <v>24</v>
      </c>
      <c r="L433">
        <v>28</v>
      </c>
      <c r="M433" t="str">
        <f t="shared" si="6"/>
        <v>Young Adult</v>
      </c>
      <c r="N433" t="s">
        <v>15</v>
      </c>
    </row>
    <row r="434" spans="1:14" x14ac:dyDescent="0.25">
      <c r="A434">
        <v>21891</v>
      </c>
      <c r="B434" t="s">
        <v>36</v>
      </c>
      <c r="C434" t="s">
        <v>38</v>
      </c>
      <c r="D434" s="5">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38</v>
      </c>
      <c r="D435" s="5">
        <v>30000</v>
      </c>
      <c r="E435">
        <v>3</v>
      </c>
      <c r="F435" t="s">
        <v>19</v>
      </c>
      <c r="G435" t="s">
        <v>20</v>
      </c>
      <c r="H435" t="s">
        <v>18</v>
      </c>
      <c r="I435">
        <v>1</v>
      </c>
      <c r="J435" t="s">
        <v>16</v>
      </c>
      <c r="K435" t="s">
        <v>17</v>
      </c>
      <c r="L435">
        <v>26</v>
      </c>
      <c r="M435" t="str">
        <f t="shared" si="6"/>
        <v>Young Adult</v>
      </c>
      <c r="N435" t="s">
        <v>18</v>
      </c>
    </row>
    <row r="436" spans="1:14" x14ac:dyDescent="0.25">
      <c r="A436">
        <v>22175</v>
      </c>
      <c r="B436" t="s">
        <v>36</v>
      </c>
      <c r="C436" t="s">
        <v>38</v>
      </c>
      <c r="D436" s="5">
        <v>30000</v>
      </c>
      <c r="E436">
        <v>3</v>
      </c>
      <c r="F436" t="s">
        <v>27</v>
      </c>
      <c r="G436" t="s">
        <v>14</v>
      </c>
      <c r="H436" t="s">
        <v>15</v>
      </c>
      <c r="I436">
        <v>2</v>
      </c>
      <c r="J436" t="s">
        <v>23</v>
      </c>
      <c r="K436" t="s">
        <v>24</v>
      </c>
      <c r="L436">
        <v>53</v>
      </c>
      <c r="M436" t="str">
        <f t="shared" si="6"/>
        <v>Old</v>
      </c>
      <c r="N436" t="s">
        <v>15</v>
      </c>
    </row>
    <row r="437" spans="1:14" x14ac:dyDescent="0.25">
      <c r="A437">
        <v>29447</v>
      </c>
      <c r="B437" t="s">
        <v>37</v>
      </c>
      <c r="C437" t="s">
        <v>38</v>
      </c>
      <c r="D437" s="5">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5">
        <v>80000</v>
      </c>
      <c r="E438">
        <v>2</v>
      </c>
      <c r="F438" t="s">
        <v>27</v>
      </c>
      <c r="G438" t="s">
        <v>14</v>
      </c>
      <c r="H438" t="s">
        <v>15</v>
      </c>
      <c r="I438">
        <v>2</v>
      </c>
      <c r="J438" t="s">
        <v>23</v>
      </c>
      <c r="K438" t="s">
        <v>24</v>
      </c>
      <c r="L438">
        <v>50</v>
      </c>
      <c r="M438" t="str">
        <f t="shared" si="6"/>
        <v>Old</v>
      </c>
      <c r="N438" t="s">
        <v>15</v>
      </c>
    </row>
    <row r="439" spans="1:14" x14ac:dyDescent="0.25">
      <c r="A439">
        <v>27824</v>
      </c>
      <c r="B439" t="s">
        <v>37</v>
      </c>
      <c r="C439" t="s">
        <v>38</v>
      </c>
      <c r="D439" s="5">
        <v>30000</v>
      </c>
      <c r="E439">
        <v>3</v>
      </c>
      <c r="F439" t="s">
        <v>19</v>
      </c>
      <c r="G439" t="s">
        <v>20</v>
      </c>
      <c r="H439" t="s">
        <v>15</v>
      </c>
      <c r="I439">
        <v>2</v>
      </c>
      <c r="J439" t="s">
        <v>16</v>
      </c>
      <c r="K439" t="s">
        <v>17</v>
      </c>
      <c r="L439">
        <v>28</v>
      </c>
      <c r="M439" t="str">
        <f t="shared" si="6"/>
        <v>Young Adult</v>
      </c>
      <c r="N439" t="s">
        <v>15</v>
      </c>
    </row>
    <row r="440" spans="1:14" x14ac:dyDescent="0.25">
      <c r="A440">
        <v>24093</v>
      </c>
      <c r="B440" t="s">
        <v>37</v>
      </c>
      <c r="C440" t="s">
        <v>38</v>
      </c>
      <c r="D440" s="5">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5">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5">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39</v>
      </c>
      <c r="D443" s="5">
        <v>70000</v>
      </c>
      <c r="E443">
        <v>2</v>
      </c>
      <c r="F443" t="s">
        <v>19</v>
      </c>
      <c r="G443" t="s">
        <v>14</v>
      </c>
      <c r="H443" t="s">
        <v>15</v>
      </c>
      <c r="I443">
        <v>2</v>
      </c>
      <c r="J443" t="s">
        <v>23</v>
      </c>
      <c r="K443" t="s">
        <v>24</v>
      </c>
      <c r="L443">
        <v>52</v>
      </c>
      <c r="M443" t="str">
        <f t="shared" si="6"/>
        <v>Old</v>
      </c>
      <c r="N443" t="s">
        <v>15</v>
      </c>
    </row>
    <row r="444" spans="1:14" x14ac:dyDescent="0.25">
      <c r="A444">
        <v>26651</v>
      </c>
      <c r="B444" t="s">
        <v>37</v>
      </c>
      <c r="C444" t="s">
        <v>39</v>
      </c>
      <c r="D444" s="5">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5">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5">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5">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5">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38</v>
      </c>
      <c r="D449" s="5">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5">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5">
        <v>40000</v>
      </c>
      <c r="E451">
        <v>1</v>
      </c>
      <c r="F451" t="s">
        <v>13</v>
      </c>
      <c r="G451" t="s">
        <v>14</v>
      </c>
      <c r="H451" t="s">
        <v>15</v>
      </c>
      <c r="I451">
        <v>0</v>
      </c>
      <c r="J451" t="s">
        <v>16</v>
      </c>
      <c r="K451" t="s">
        <v>17</v>
      </c>
      <c r="L451">
        <v>42</v>
      </c>
      <c r="M451" t="str">
        <f t="shared" ref="M451:M514" si="7">IF(L451&gt;=50,"Old",IF(L451&gt;=30,"Middle Age",IF(L451&lt;30,"Young Adult","Invalid")))</f>
        <v>Middle Age</v>
      </c>
      <c r="N451" t="s">
        <v>18</v>
      </c>
    </row>
    <row r="452" spans="1:14" x14ac:dyDescent="0.25">
      <c r="A452">
        <v>16559</v>
      </c>
      <c r="B452" t="s">
        <v>37</v>
      </c>
      <c r="C452" t="s">
        <v>38</v>
      </c>
      <c r="D452" s="5">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5">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5">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5">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5">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5">
        <v>80000</v>
      </c>
      <c r="E457">
        <v>4</v>
      </c>
      <c r="F457" t="s">
        <v>19</v>
      </c>
      <c r="G457" t="s">
        <v>21</v>
      </c>
      <c r="H457" t="s">
        <v>18</v>
      </c>
      <c r="I457">
        <v>1</v>
      </c>
      <c r="J457" t="s">
        <v>22</v>
      </c>
      <c r="K457" t="s">
        <v>17</v>
      </c>
      <c r="L457">
        <v>53</v>
      </c>
      <c r="M457" t="str">
        <f t="shared" si="7"/>
        <v>Old</v>
      </c>
      <c r="N457" t="s">
        <v>15</v>
      </c>
    </row>
    <row r="458" spans="1:14" x14ac:dyDescent="0.25">
      <c r="A458">
        <v>26385</v>
      </c>
      <c r="B458" t="s">
        <v>37</v>
      </c>
      <c r="C458" t="s">
        <v>39</v>
      </c>
      <c r="D458" s="5">
        <v>120000</v>
      </c>
      <c r="E458">
        <v>3</v>
      </c>
      <c r="F458" t="s">
        <v>27</v>
      </c>
      <c r="G458" t="s">
        <v>21</v>
      </c>
      <c r="H458" t="s">
        <v>18</v>
      </c>
      <c r="I458">
        <v>4</v>
      </c>
      <c r="J458" t="s">
        <v>23</v>
      </c>
      <c r="K458" t="s">
        <v>17</v>
      </c>
      <c r="L458">
        <v>50</v>
      </c>
      <c r="M458" t="str">
        <f t="shared" si="7"/>
        <v>Old</v>
      </c>
      <c r="N458" t="s">
        <v>18</v>
      </c>
    </row>
    <row r="459" spans="1:14" x14ac:dyDescent="0.25">
      <c r="A459">
        <v>12236</v>
      </c>
      <c r="B459" t="s">
        <v>36</v>
      </c>
      <c r="C459" t="s">
        <v>38</v>
      </c>
      <c r="D459" s="5">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5">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38</v>
      </c>
      <c r="D461" s="5">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39</v>
      </c>
      <c r="D462" s="5">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5">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5">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5">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5">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5">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5">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5">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5">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5">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5">
        <v>30000</v>
      </c>
      <c r="E472">
        <v>0</v>
      </c>
      <c r="F472" t="s">
        <v>27</v>
      </c>
      <c r="G472" t="s">
        <v>25</v>
      </c>
      <c r="H472" t="s">
        <v>18</v>
      </c>
      <c r="I472">
        <v>1</v>
      </c>
      <c r="J472" t="s">
        <v>26</v>
      </c>
      <c r="K472" t="s">
        <v>17</v>
      </c>
      <c r="L472">
        <v>28</v>
      </c>
      <c r="M472" t="str">
        <f t="shared" si="7"/>
        <v>Young Adult</v>
      </c>
      <c r="N472" t="s">
        <v>18</v>
      </c>
    </row>
    <row r="473" spans="1:14" x14ac:dyDescent="0.25">
      <c r="A473">
        <v>28323</v>
      </c>
      <c r="B473" t="s">
        <v>37</v>
      </c>
      <c r="C473" t="s">
        <v>39</v>
      </c>
      <c r="D473" s="5">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5">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5">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5">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5">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5">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5">
        <v>70000</v>
      </c>
      <c r="E479">
        <v>2</v>
      </c>
      <c r="F479" t="s">
        <v>27</v>
      </c>
      <c r="G479" t="s">
        <v>14</v>
      </c>
      <c r="H479" t="s">
        <v>18</v>
      </c>
      <c r="I479">
        <v>2</v>
      </c>
      <c r="J479" t="s">
        <v>26</v>
      </c>
      <c r="K479" t="s">
        <v>24</v>
      </c>
      <c r="L479">
        <v>50</v>
      </c>
      <c r="M479" t="str">
        <f t="shared" si="7"/>
        <v>Old</v>
      </c>
      <c r="N479" t="s">
        <v>15</v>
      </c>
    </row>
    <row r="480" spans="1:14" x14ac:dyDescent="0.25">
      <c r="A480">
        <v>22610</v>
      </c>
      <c r="B480" t="s">
        <v>36</v>
      </c>
      <c r="C480" t="s">
        <v>39</v>
      </c>
      <c r="D480" s="5">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5">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5">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5">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5">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5">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5">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5">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5">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39</v>
      </c>
      <c r="D489" s="5">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5">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5">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5">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5">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5">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5">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39</v>
      </c>
      <c r="D496" s="5">
        <v>70000</v>
      </c>
      <c r="E496">
        <v>4</v>
      </c>
      <c r="F496" t="s">
        <v>27</v>
      </c>
      <c r="G496" t="s">
        <v>21</v>
      </c>
      <c r="H496" t="s">
        <v>15</v>
      </c>
      <c r="I496">
        <v>0</v>
      </c>
      <c r="J496" t="s">
        <v>23</v>
      </c>
      <c r="K496" t="s">
        <v>32</v>
      </c>
      <c r="L496">
        <v>51</v>
      </c>
      <c r="M496" t="str">
        <f t="shared" si="7"/>
        <v>Old</v>
      </c>
      <c r="N496" t="s">
        <v>18</v>
      </c>
    </row>
    <row r="497" spans="1:14" x14ac:dyDescent="0.25">
      <c r="A497">
        <v>24981</v>
      </c>
      <c r="B497" t="s">
        <v>36</v>
      </c>
      <c r="C497" t="s">
        <v>39</v>
      </c>
      <c r="D497" s="5">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38</v>
      </c>
      <c r="D498" s="5">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5">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5">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5">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5">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5">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5">
        <v>40000</v>
      </c>
      <c r="E504">
        <v>0</v>
      </c>
      <c r="F504" t="s">
        <v>19</v>
      </c>
      <c r="G504" t="s">
        <v>14</v>
      </c>
      <c r="H504" t="s">
        <v>15</v>
      </c>
      <c r="I504">
        <v>1</v>
      </c>
      <c r="J504" t="s">
        <v>23</v>
      </c>
      <c r="K504" t="s">
        <v>32</v>
      </c>
      <c r="L504">
        <v>29</v>
      </c>
      <c r="M504" t="str">
        <f t="shared" si="7"/>
        <v>Young Adult</v>
      </c>
      <c r="N504" t="s">
        <v>18</v>
      </c>
    </row>
    <row r="505" spans="1:14" x14ac:dyDescent="0.25">
      <c r="A505">
        <v>20339</v>
      </c>
      <c r="B505" t="s">
        <v>36</v>
      </c>
      <c r="C505" t="s">
        <v>38</v>
      </c>
      <c r="D505" s="5">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5">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5">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5">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5">
        <v>40000</v>
      </c>
      <c r="E509">
        <v>1</v>
      </c>
      <c r="F509" t="s">
        <v>19</v>
      </c>
      <c r="G509" t="s">
        <v>20</v>
      </c>
      <c r="H509" t="s">
        <v>15</v>
      </c>
      <c r="I509">
        <v>1</v>
      </c>
      <c r="J509" t="s">
        <v>26</v>
      </c>
      <c r="K509" t="s">
        <v>32</v>
      </c>
      <c r="L509">
        <v>51</v>
      </c>
      <c r="M509" t="str">
        <f t="shared" si="7"/>
        <v>Old</v>
      </c>
      <c r="N509" t="s">
        <v>15</v>
      </c>
    </row>
    <row r="510" spans="1:14" x14ac:dyDescent="0.25">
      <c r="A510">
        <v>16337</v>
      </c>
      <c r="B510" t="s">
        <v>36</v>
      </c>
      <c r="C510" t="s">
        <v>39</v>
      </c>
      <c r="D510" s="5">
        <v>60000</v>
      </c>
      <c r="E510">
        <v>0</v>
      </c>
      <c r="F510" t="s">
        <v>19</v>
      </c>
      <c r="G510" t="s">
        <v>14</v>
      </c>
      <c r="H510" t="s">
        <v>18</v>
      </c>
      <c r="I510">
        <v>2</v>
      </c>
      <c r="J510" t="s">
        <v>26</v>
      </c>
      <c r="K510" t="s">
        <v>32</v>
      </c>
      <c r="L510">
        <v>29</v>
      </c>
      <c r="M510" t="str">
        <f t="shared" si="7"/>
        <v>Young Adult</v>
      </c>
      <c r="N510" t="s">
        <v>18</v>
      </c>
    </row>
    <row r="511" spans="1:14" x14ac:dyDescent="0.25">
      <c r="A511">
        <v>24357</v>
      </c>
      <c r="B511" t="s">
        <v>36</v>
      </c>
      <c r="C511" t="s">
        <v>39</v>
      </c>
      <c r="D511" s="5">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5">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5">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5">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5">
        <v>60000</v>
      </c>
      <c r="E515">
        <v>4</v>
      </c>
      <c r="F515" t="s">
        <v>31</v>
      </c>
      <c r="G515" t="s">
        <v>28</v>
      </c>
      <c r="H515" t="s">
        <v>15</v>
      </c>
      <c r="I515">
        <v>2</v>
      </c>
      <c r="J515" t="s">
        <v>46</v>
      </c>
      <c r="K515" t="s">
        <v>32</v>
      </c>
      <c r="L515">
        <v>61</v>
      </c>
      <c r="M515" t="str">
        <f t="shared" ref="M515:M578" si="8">IF(L515&gt;=50,"Old",IF(L515&gt;=30,"Middle Age",IF(L515&lt;30,"Young Adult","Invalid")))</f>
        <v>Old</v>
      </c>
      <c r="N515" t="s">
        <v>15</v>
      </c>
    </row>
    <row r="516" spans="1:14" x14ac:dyDescent="0.25">
      <c r="A516">
        <v>19399</v>
      </c>
      <c r="B516" t="s">
        <v>37</v>
      </c>
      <c r="C516" t="s">
        <v>39</v>
      </c>
      <c r="D516" s="5">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5">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5">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5">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5">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5">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5">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5">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39</v>
      </c>
      <c r="D524" s="5">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5">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5">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5">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38</v>
      </c>
      <c r="D528" s="5">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5">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5">
        <v>30000</v>
      </c>
      <c r="E530">
        <v>0</v>
      </c>
      <c r="F530" t="s">
        <v>19</v>
      </c>
      <c r="G530" t="s">
        <v>14</v>
      </c>
      <c r="H530" t="s">
        <v>15</v>
      </c>
      <c r="I530">
        <v>1</v>
      </c>
      <c r="J530" t="s">
        <v>23</v>
      </c>
      <c r="K530" t="s">
        <v>32</v>
      </c>
      <c r="L530">
        <v>28</v>
      </c>
      <c r="M530" t="str">
        <f t="shared" si="8"/>
        <v>Young Adult</v>
      </c>
      <c r="N530" t="s">
        <v>18</v>
      </c>
    </row>
    <row r="531" spans="1:14" x14ac:dyDescent="0.25">
      <c r="A531">
        <v>13233</v>
      </c>
      <c r="B531" t="s">
        <v>36</v>
      </c>
      <c r="C531" t="s">
        <v>39</v>
      </c>
      <c r="D531" s="5">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39</v>
      </c>
      <c r="D532" s="5">
        <v>60000</v>
      </c>
      <c r="E532">
        <v>0</v>
      </c>
      <c r="F532" t="s">
        <v>19</v>
      </c>
      <c r="G532" t="s">
        <v>14</v>
      </c>
      <c r="H532" t="s">
        <v>15</v>
      </c>
      <c r="I532">
        <v>1</v>
      </c>
      <c r="J532" t="s">
        <v>23</v>
      </c>
      <c r="K532" t="s">
        <v>32</v>
      </c>
      <c r="L532">
        <v>27</v>
      </c>
      <c r="M532" t="str">
        <f t="shared" si="8"/>
        <v>Young Adult</v>
      </c>
      <c r="N532" t="s">
        <v>15</v>
      </c>
    </row>
    <row r="533" spans="1:14" x14ac:dyDescent="0.25">
      <c r="A533">
        <v>14092</v>
      </c>
      <c r="B533" t="s">
        <v>37</v>
      </c>
      <c r="C533" t="s">
        <v>39</v>
      </c>
      <c r="D533" s="5">
        <v>30000</v>
      </c>
      <c r="E533">
        <v>0</v>
      </c>
      <c r="F533" t="s">
        <v>29</v>
      </c>
      <c r="G533" t="s">
        <v>20</v>
      </c>
      <c r="H533" t="s">
        <v>15</v>
      </c>
      <c r="I533">
        <v>2</v>
      </c>
      <c r="J533" t="s">
        <v>23</v>
      </c>
      <c r="K533" t="s">
        <v>32</v>
      </c>
      <c r="L533">
        <v>28</v>
      </c>
      <c r="M533" t="str">
        <f t="shared" si="8"/>
        <v>Young Adult</v>
      </c>
      <c r="N533" t="s">
        <v>18</v>
      </c>
    </row>
    <row r="534" spans="1:14" x14ac:dyDescent="0.25">
      <c r="A534">
        <v>29143</v>
      </c>
      <c r="B534" t="s">
        <v>37</v>
      </c>
      <c r="C534" t="s">
        <v>38</v>
      </c>
      <c r="D534" s="5">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5">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39</v>
      </c>
      <c r="D536" s="5">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39</v>
      </c>
      <c r="D537" s="5">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38</v>
      </c>
      <c r="D538" s="5">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5">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5">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5">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5">
        <v>70000</v>
      </c>
      <c r="E542">
        <v>3</v>
      </c>
      <c r="F542" t="s">
        <v>31</v>
      </c>
      <c r="G542" t="s">
        <v>28</v>
      </c>
      <c r="H542" t="s">
        <v>15</v>
      </c>
      <c r="I542">
        <v>2</v>
      </c>
      <c r="J542" t="s">
        <v>26</v>
      </c>
      <c r="K542" t="s">
        <v>32</v>
      </c>
      <c r="L542">
        <v>52</v>
      </c>
      <c r="M542" t="str">
        <f t="shared" si="8"/>
        <v>Old</v>
      </c>
      <c r="N542" t="s">
        <v>18</v>
      </c>
    </row>
    <row r="543" spans="1:14" x14ac:dyDescent="0.25">
      <c r="A543">
        <v>25375</v>
      </c>
      <c r="B543" t="s">
        <v>36</v>
      </c>
      <c r="C543" t="s">
        <v>39</v>
      </c>
      <c r="D543" s="5">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5">
        <v>40000</v>
      </c>
      <c r="E544">
        <v>0</v>
      </c>
      <c r="F544" t="s">
        <v>27</v>
      </c>
      <c r="G544" t="s">
        <v>14</v>
      </c>
      <c r="H544" t="s">
        <v>15</v>
      </c>
      <c r="I544">
        <v>2</v>
      </c>
      <c r="J544" t="s">
        <v>23</v>
      </c>
      <c r="K544" t="s">
        <v>32</v>
      </c>
      <c r="L544">
        <v>29</v>
      </c>
      <c r="M544" t="str">
        <f t="shared" si="8"/>
        <v>Young Adult</v>
      </c>
      <c r="N544" t="s">
        <v>18</v>
      </c>
    </row>
    <row r="545" spans="1:14" x14ac:dyDescent="0.25">
      <c r="A545">
        <v>25898</v>
      </c>
      <c r="B545" t="s">
        <v>36</v>
      </c>
      <c r="C545" t="s">
        <v>38</v>
      </c>
      <c r="D545" s="5">
        <v>70000</v>
      </c>
      <c r="E545">
        <v>2</v>
      </c>
      <c r="F545" t="s">
        <v>27</v>
      </c>
      <c r="G545" t="s">
        <v>21</v>
      </c>
      <c r="H545" t="s">
        <v>15</v>
      </c>
      <c r="I545">
        <v>2</v>
      </c>
      <c r="J545" t="s">
        <v>22</v>
      </c>
      <c r="K545" t="s">
        <v>32</v>
      </c>
      <c r="L545">
        <v>53</v>
      </c>
      <c r="M545" t="str">
        <f t="shared" si="8"/>
        <v>Old</v>
      </c>
      <c r="N545" t="s">
        <v>18</v>
      </c>
    </row>
    <row r="546" spans="1:14" x14ac:dyDescent="0.25">
      <c r="A546">
        <v>24397</v>
      </c>
      <c r="B546" t="s">
        <v>37</v>
      </c>
      <c r="C546" t="s">
        <v>39</v>
      </c>
      <c r="D546" s="5">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5">
        <v>60000</v>
      </c>
      <c r="E547">
        <v>0</v>
      </c>
      <c r="F547" t="s">
        <v>19</v>
      </c>
      <c r="G547" t="s">
        <v>14</v>
      </c>
      <c r="H547" t="s">
        <v>18</v>
      </c>
      <c r="I547">
        <v>2</v>
      </c>
      <c r="J547" t="s">
        <v>26</v>
      </c>
      <c r="K547" t="s">
        <v>32</v>
      </c>
      <c r="L547">
        <v>29</v>
      </c>
      <c r="M547" t="str">
        <f t="shared" si="8"/>
        <v>Young Adult</v>
      </c>
      <c r="N547" t="s">
        <v>18</v>
      </c>
    </row>
    <row r="548" spans="1:14" x14ac:dyDescent="0.25">
      <c r="A548">
        <v>15529</v>
      </c>
      <c r="B548" t="s">
        <v>36</v>
      </c>
      <c r="C548" t="s">
        <v>39</v>
      </c>
      <c r="D548" s="5">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5">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5">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5">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5">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5">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39</v>
      </c>
      <c r="D554" s="5">
        <v>60000</v>
      </c>
      <c r="E554">
        <v>3</v>
      </c>
      <c r="F554" t="s">
        <v>27</v>
      </c>
      <c r="G554" t="s">
        <v>21</v>
      </c>
      <c r="H554" t="s">
        <v>15</v>
      </c>
      <c r="I554">
        <v>2</v>
      </c>
      <c r="J554" t="s">
        <v>46</v>
      </c>
      <c r="K554" t="s">
        <v>32</v>
      </c>
      <c r="L554">
        <v>54</v>
      </c>
      <c r="M554" t="str">
        <f t="shared" si="8"/>
        <v>Old</v>
      </c>
      <c r="N554" t="s">
        <v>15</v>
      </c>
    </row>
    <row r="555" spans="1:14" x14ac:dyDescent="0.25">
      <c r="A555">
        <v>17533</v>
      </c>
      <c r="B555" t="s">
        <v>36</v>
      </c>
      <c r="C555" t="s">
        <v>39</v>
      </c>
      <c r="D555" s="5">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5">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5">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5">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5">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5">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5">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38</v>
      </c>
      <c r="D562" s="5">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5">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5">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5">
        <v>30000</v>
      </c>
      <c r="E565">
        <v>0</v>
      </c>
      <c r="F565" t="s">
        <v>19</v>
      </c>
      <c r="G565" t="s">
        <v>14</v>
      </c>
      <c r="H565" t="s">
        <v>15</v>
      </c>
      <c r="I565">
        <v>1</v>
      </c>
      <c r="J565" t="s">
        <v>23</v>
      </c>
      <c r="K565" t="s">
        <v>32</v>
      </c>
      <c r="L565">
        <v>28</v>
      </c>
      <c r="M565" t="str">
        <f t="shared" si="8"/>
        <v>Young Adult</v>
      </c>
      <c r="N565" t="s">
        <v>18</v>
      </c>
    </row>
    <row r="566" spans="1:14" x14ac:dyDescent="0.25">
      <c r="A566">
        <v>17369</v>
      </c>
      <c r="B566" t="s">
        <v>37</v>
      </c>
      <c r="C566" t="s">
        <v>39</v>
      </c>
      <c r="D566" s="5">
        <v>30000</v>
      </c>
      <c r="E566">
        <v>0</v>
      </c>
      <c r="F566" t="s">
        <v>19</v>
      </c>
      <c r="G566" t="s">
        <v>14</v>
      </c>
      <c r="H566" t="s">
        <v>15</v>
      </c>
      <c r="I566">
        <v>1</v>
      </c>
      <c r="J566" t="s">
        <v>23</v>
      </c>
      <c r="K566" t="s">
        <v>32</v>
      </c>
      <c r="L566">
        <v>27</v>
      </c>
      <c r="M566" t="str">
        <f t="shared" si="8"/>
        <v>Young Adult</v>
      </c>
      <c r="N566" t="s">
        <v>18</v>
      </c>
    </row>
    <row r="567" spans="1:14" x14ac:dyDescent="0.25">
      <c r="A567">
        <v>14495</v>
      </c>
      <c r="B567" t="s">
        <v>36</v>
      </c>
      <c r="C567" t="s">
        <v>39</v>
      </c>
      <c r="D567" s="5">
        <v>40000</v>
      </c>
      <c r="E567">
        <v>3</v>
      </c>
      <c r="F567" t="s">
        <v>19</v>
      </c>
      <c r="G567" t="s">
        <v>21</v>
      </c>
      <c r="H567" t="s">
        <v>18</v>
      </c>
      <c r="I567">
        <v>2</v>
      </c>
      <c r="J567" t="s">
        <v>23</v>
      </c>
      <c r="K567" t="s">
        <v>32</v>
      </c>
      <c r="L567">
        <v>54</v>
      </c>
      <c r="M567" t="str">
        <f t="shared" si="8"/>
        <v>Old</v>
      </c>
      <c r="N567" t="s">
        <v>15</v>
      </c>
    </row>
    <row r="568" spans="1:14" x14ac:dyDescent="0.25">
      <c r="A568">
        <v>18847</v>
      </c>
      <c r="B568" t="s">
        <v>36</v>
      </c>
      <c r="C568" t="s">
        <v>38</v>
      </c>
      <c r="D568" s="5">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5">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5">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5">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39</v>
      </c>
      <c r="D572" s="5">
        <v>70000</v>
      </c>
      <c r="E572">
        <v>3</v>
      </c>
      <c r="F572" t="s">
        <v>29</v>
      </c>
      <c r="G572" t="s">
        <v>14</v>
      </c>
      <c r="H572" t="s">
        <v>15</v>
      </c>
      <c r="I572">
        <v>2</v>
      </c>
      <c r="J572" t="s">
        <v>23</v>
      </c>
      <c r="K572" t="s">
        <v>32</v>
      </c>
      <c r="L572">
        <v>52</v>
      </c>
      <c r="M572" t="str">
        <f t="shared" si="8"/>
        <v>Old</v>
      </c>
      <c r="N572" t="s">
        <v>18</v>
      </c>
    </row>
    <row r="573" spans="1:14" x14ac:dyDescent="0.25">
      <c r="A573">
        <v>20528</v>
      </c>
      <c r="B573" t="s">
        <v>36</v>
      </c>
      <c r="C573" t="s">
        <v>39</v>
      </c>
      <c r="D573" s="5">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5">
        <v>30000</v>
      </c>
      <c r="E574">
        <v>0</v>
      </c>
      <c r="F574" t="s">
        <v>27</v>
      </c>
      <c r="G574" t="s">
        <v>14</v>
      </c>
      <c r="H574" t="s">
        <v>15</v>
      </c>
      <c r="I574">
        <v>2</v>
      </c>
      <c r="J574" t="s">
        <v>23</v>
      </c>
      <c r="K574" t="s">
        <v>32</v>
      </c>
      <c r="L574">
        <v>30</v>
      </c>
      <c r="M574" t="str">
        <f t="shared" si="8"/>
        <v>Middle Age</v>
      </c>
      <c r="N574" t="s">
        <v>18</v>
      </c>
    </row>
    <row r="575" spans="1:14" x14ac:dyDescent="0.25">
      <c r="A575">
        <v>21751</v>
      </c>
      <c r="B575" t="s">
        <v>36</v>
      </c>
      <c r="C575" t="s">
        <v>39</v>
      </c>
      <c r="D575" s="5">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5">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5">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38</v>
      </c>
      <c r="D578" s="5">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5">
        <v>120000</v>
      </c>
      <c r="E579">
        <v>1</v>
      </c>
      <c r="F579" t="s">
        <v>13</v>
      </c>
      <c r="G579" t="s">
        <v>28</v>
      </c>
      <c r="H579" t="s">
        <v>15</v>
      </c>
      <c r="I579">
        <v>4</v>
      </c>
      <c r="J579" t="s">
        <v>16</v>
      </c>
      <c r="K579" t="s">
        <v>32</v>
      </c>
      <c r="L579">
        <v>38</v>
      </c>
      <c r="M579" t="str">
        <f t="shared" ref="M579:M642" si="9">IF(L579&gt;=50,"Old",IF(L579&gt;=30,"Middle Age",IF(L579&lt;30,"Young Adult","Invalid")))</f>
        <v>Middle Age</v>
      </c>
      <c r="N579" t="s">
        <v>18</v>
      </c>
    </row>
    <row r="580" spans="1:14" x14ac:dyDescent="0.25">
      <c r="A580">
        <v>15313</v>
      </c>
      <c r="B580" t="s">
        <v>36</v>
      </c>
      <c r="C580" t="s">
        <v>39</v>
      </c>
      <c r="D580" s="5">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5">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5">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39</v>
      </c>
      <c r="D583" s="5">
        <v>40000</v>
      </c>
      <c r="E583">
        <v>0</v>
      </c>
      <c r="F583" t="s">
        <v>19</v>
      </c>
      <c r="G583" t="s">
        <v>14</v>
      </c>
      <c r="H583" t="s">
        <v>15</v>
      </c>
      <c r="I583">
        <v>1</v>
      </c>
      <c r="J583" t="s">
        <v>23</v>
      </c>
      <c r="K583" t="s">
        <v>32</v>
      </c>
      <c r="L583">
        <v>28</v>
      </c>
      <c r="M583" t="str">
        <f t="shared" si="9"/>
        <v>Young Adult</v>
      </c>
      <c r="N583" t="s">
        <v>18</v>
      </c>
    </row>
    <row r="584" spans="1:14" x14ac:dyDescent="0.25">
      <c r="A584">
        <v>13749</v>
      </c>
      <c r="B584" t="s">
        <v>36</v>
      </c>
      <c r="C584" t="s">
        <v>39</v>
      </c>
      <c r="D584" s="5">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5">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39</v>
      </c>
      <c r="D586" s="5">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5">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5">
        <v>60000</v>
      </c>
      <c r="E588">
        <v>2</v>
      </c>
      <c r="F588" t="s">
        <v>27</v>
      </c>
      <c r="G588" t="s">
        <v>21</v>
      </c>
      <c r="H588" t="s">
        <v>18</v>
      </c>
      <c r="I588">
        <v>2</v>
      </c>
      <c r="J588" t="s">
        <v>26</v>
      </c>
      <c r="K588" t="s">
        <v>32</v>
      </c>
      <c r="L588">
        <v>51</v>
      </c>
      <c r="M588" t="str">
        <f t="shared" si="9"/>
        <v>Old</v>
      </c>
      <c r="N588" t="s">
        <v>18</v>
      </c>
    </row>
    <row r="589" spans="1:14" x14ac:dyDescent="0.25">
      <c r="A589">
        <v>18935</v>
      </c>
      <c r="B589" t="s">
        <v>36</v>
      </c>
      <c r="C589" t="s">
        <v>38</v>
      </c>
      <c r="D589" s="5">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5">
        <v>90000</v>
      </c>
      <c r="E590">
        <v>2</v>
      </c>
      <c r="F590" t="s">
        <v>27</v>
      </c>
      <c r="G590" t="s">
        <v>21</v>
      </c>
      <c r="H590" t="s">
        <v>15</v>
      </c>
      <c r="I590">
        <v>1</v>
      </c>
      <c r="J590" t="s">
        <v>46</v>
      </c>
      <c r="K590" t="s">
        <v>32</v>
      </c>
      <c r="L590">
        <v>51</v>
      </c>
      <c r="M590" t="str">
        <f t="shared" si="9"/>
        <v>Old</v>
      </c>
      <c r="N590" t="s">
        <v>15</v>
      </c>
    </row>
    <row r="591" spans="1:14" x14ac:dyDescent="0.25">
      <c r="A591">
        <v>12100</v>
      </c>
      <c r="B591" t="s">
        <v>37</v>
      </c>
      <c r="C591" t="s">
        <v>39</v>
      </c>
      <c r="D591" s="5">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38</v>
      </c>
      <c r="D592" s="5">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5">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38</v>
      </c>
      <c r="D594" s="5">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5">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5">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5">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5">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5">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5">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5">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5">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5">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5">
        <v>60000</v>
      </c>
      <c r="E604">
        <v>2</v>
      </c>
      <c r="F604" t="s">
        <v>29</v>
      </c>
      <c r="G604" t="s">
        <v>14</v>
      </c>
      <c r="H604" t="s">
        <v>15</v>
      </c>
      <c r="I604">
        <v>2</v>
      </c>
      <c r="J604" t="s">
        <v>23</v>
      </c>
      <c r="K604" t="s">
        <v>32</v>
      </c>
      <c r="L604">
        <v>52</v>
      </c>
      <c r="M604" t="str">
        <f t="shared" si="9"/>
        <v>Old</v>
      </c>
      <c r="N604" t="s">
        <v>15</v>
      </c>
    </row>
    <row r="605" spans="1:14" x14ac:dyDescent="0.25">
      <c r="A605">
        <v>20000</v>
      </c>
      <c r="B605" t="s">
        <v>36</v>
      </c>
      <c r="C605" t="s">
        <v>39</v>
      </c>
      <c r="D605" s="5">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5">
        <v>40000</v>
      </c>
      <c r="E606">
        <v>0</v>
      </c>
      <c r="F606" t="s">
        <v>27</v>
      </c>
      <c r="G606" t="s">
        <v>14</v>
      </c>
      <c r="H606" t="s">
        <v>15</v>
      </c>
      <c r="I606">
        <v>2</v>
      </c>
      <c r="J606" t="s">
        <v>23</v>
      </c>
      <c r="K606" t="s">
        <v>32</v>
      </c>
      <c r="L606">
        <v>27</v>
      </c>
      <c r="M606" t="str">
        <f t="shared" si="9"/>
        <v>Young Adult</v>
      </c>
      <c r="N606" t="s">
        <v>18</v>
      </c>
    </row>
    <row r="607" spans="1:14" x14ac:dyDescent="0.25">
      <c r="A607">
        <v>17458</v>
      </c>
      <c r="B607" t="s">
        <v>37</v>
      </c>
      <c r="C607" t="s">
        <v>39</v>
      </c>
      <c r="D607" s="5">
        <v>70000</v>
      </c>
      <c r="E607">
        <v>3</v>
      </c>
      <c r="F607" t="s">
        <v>27</v>
      </c>
      <c r="G607" t="s">
        <v>21</v>
      </c>
      <c r="H607" t="s">
        <v>15</v>
      </c>
      <c r="I607">
        <v>0</v>
      </c>
      <c r="J607" t="s">
        <v>23</v>
      </c>
      <c r="K607" t="s">
        <v>32</v>
      </c>
      <c r="L607">
        <v>52</v>
      </c>
      <c r="M607" t="str">
        <f t="shared" si="9"/>
        <v>Old</v>
      </c>
      <c r="N607" t="s">
        <v>15</v>
      </c>
    </row>
    <row r="608" spans="1:14" x14ac:dyDescent="0.25">
      <c r="A608">
        <v>11644</v>
      </c>
      <c r="B608" t="s">
        <v>37</v>
      </c>
      <c r="C608" t="s">
        <v>39</v>
      </c>
      <c r="D608" s="5">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5">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39</v>
      </c>
      <c r="D610" s="5">
        <v>60000</v>
      </c>
      <c r="E610">
        <v>3</v>
      </c>
      <c r="F610" t="s">
        <v>29</v>
      </c>
      <c r="G610" t="s">
        <v>14</v>
      </c>
      <c r="H610" t="s">
        <v>15</v>
      </c>
      <c r="I610">
        <v>2</v>
      </c>
      <c r="J610" t="s">
        <v>23</v>
      </c>
      <c r="K610" t="s">
        <v>32</v>
      </c>
      <c r="L610">
        <v>52</v>
      </c>
      <c r="M610" t="str">
        <f t="shared" si="9"/>
        <v>Old</v>
      </c>
      <c r="N610" t="s">
        <v>15</v>
      </c>
    </row>
    <row r="611" spans="1:14" x14ac:dyDescent="0.25">
      <c r="A611">
        <v>25983</v>
      </c>
      <c r="B611" t="s">
        <v>36</v>
      </c>
      <c r="C611" t="s">
        <v>39</v>
      </c>
      <c r="D611" s="5">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5">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5">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5">
        <v>30000</v>
      </c>
      <c r="E614">
        <v>0</v>
      </c>
      <c r="F614" t="s">
        <v>29</v>
      </c>
      <c r="G614" t="s">
        <v>20</v>
      </c>
      <c r="H614" t="s">
        <v>15</v>
      </c>
      <c r="I614">
        <v>2</v>
      </c>
      <c r="J614" t="s">
        <v>23</v>
      </c>
      <c r="K614" t="s">
        <v>32</v>
      </c>
      <c r="L614">
        <v>27</v>
      </c>
      <c r="M614" t="str">
        <f t="shared" si="9"/>
        <v>Young Adult</v>
      </c>
      <c r="N614" t="s">
        <v>18</v>
      </c>
    </row>
    <row r="615" spans="1:14" x14ac:dyDescent="0.25">
      <c r="A615">
        <v>25184</v>
      </c>
      <c r="B615" t="s">
        <v>37</v>
      </c>
      <c r="C615" t="s">
        <v>39</v>
      </c>
      <c r="D615" s="5">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5">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5">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5">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5">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5">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5">
        <v>40000</v>
      </c>
      <c r="E621">
        <v>0</v>
      </c>
      <c r="F621" t="s">
        <v>27</v>
      </c>
      <c r="G621" t="s">
        <v>14</v>
      </c>
      <c r="H621" t="s">
        <v>15</v>
      </c>
      <c r="I621">
        <v>1</v>
      </c>
      <c r="J621" t="s">
        <v>23</v>
      </c>
      <c r="K621" t="s">
        <v>32</v>
      </c>
      <c r="L621">
        <v>30</v>
      </c>
      <c r="M621" t="str">
        <f t="shared" si="9"/>
        <v>Middle Age</v>
      </c>
      <c r="N621" t="s">
        <v>18</v>
      </c>
    </row>
    <row r="622" spans="1:14" x14ac:dyDescent="0.25">
      <c r="A622">
        <v>11259</v>
      </c>
      <c r="B622" t="s">
        <v>36</v>
      </c>
      <c r="C622" t="s">
        <v>38</v>
      </c>
      <c r="D622" s="5">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5">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5">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5">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5">
        <v>70000</v>
      </c>
      <c r="E626">
        <v>0</v>
      </c>
      <c r="F626" t="s">
        <v>19</v>
      </c>
      <c r="G626" t="s">
        <v>14</v>
      </c>
      <c r="H626" t="s">
        <v>18</v>
      </c>
      <c r="I626">
        <v>2</v>
      </c>
      <c r="J626" t="s">
        <v>16</v>
      </c>
      <c r="K626" t="s">
        <v>32</v>
      </c>
      <c r="L626">
        <v>27</v>
      </c>
      <c r="M626" t="str">
        <f t="shared" si="9"/>
        <v>Young Adult</v>
      </c>
      <c r="N626" t="s">
        <v>15</v>
      </c>
    </row>
    <row r="627" spans="1:14" x14ac:dyDescent="0.25">
      <c r="A627">
        <v>22127</v>
      </c>
      <c r="B627" t="s">
        <v>36</v>
      </c>
      <c r="C627" t="s">
        <v>39</v>
      </c>
      <c r="D627" s="5">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5">
        <v>60000</v>
      </c>
      <c r="E628">
        <v>0</v>
      </c>
      <c r="F628" t="s">
        <v>19</v>
      </c>
      <c r="G628" t="s">
        <v>14</v>
      </c>
      <c r="H628" t="s">
        <v>15</v>
      </c>
      <c r="I628">
        <v>2</v>
      </c>
      <c r="J628" t="s">
        <v>23</v>
      </c>
      <c r="K628" t="s">
        <v>32</v>
      </c>
      <c r="L628">
        <v>29</v>
      </c>
      <c r="M628" t="str">
        <f t="shared" si="9"/>
        <v>Young Adult</v>
      </c>
      <c r="N628" t="s">
        <v>18</v>
      </c>
    </row>
    <row r="629" spans="1:14" x14ac:dyDescent="0.25">
      <c r="A629">
        <v>23672</v>
      </c>
      <c r="B629" t="s">
        <v>36</v>
      </c>
      <c r="C629" t="s">
        <v>38</v>
      </c>
      <c r="D629" s="5">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5">
        <v>80000</v>
      </c>
      <c r="E630">
        <v>3</v>
      </c>
      <c r="F630" t="s">
        <v>19</v>
      </c>
      <c r="G630" t="s">
        <v>21</v>
      </c>
      <c r="H630" t="s">
        <v>18</v>
      </c>
      <c r="I630">
        <v>1</v>
      </c>
      <c r="J630" t="s">
        <v>26</v>
      </c>
      <c r="K630" t="s">
        <v>32</v>
      </c>
      <c r="L630">
        <v>51</v>
      </c>
      <c r="M630" t="str">
        <f t="shared" si="9"/>
        <v>Old</v>
      </c>
      <c r="N630" t="s">
        <v>15</v>
      </c>
    </row>
    <row r="631" spans="1:14" x14ac:dyDescent="0.25">
      <c r="A631">
        <v>28815</v>
      </c>
      <c r="B631" t="s">
        <v>36</v>
      </c>
      <c r="C631" t="s">
        <v>38</v>
      </c>
      <c r="D631" s="5">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5">
        <v>40000</v>
      </c>
      <c r="E632">
        <v>0</v>
      </c>
      <c r="F632" t="s">
        <v>27</v>
      </c>
      <c r="G632" t="s">
        <v>14</v>
      </c>
      <c r="H632" t="s">
        <v>18</v>
      </c>
      <c r="I632">
        <v>2</v>
      </c>
      <c r="J632" t="s">
        <v>26</v>
      </c>
      <c r="K632" t="s">
        <v>32</v>
      </c>
      <c r="L632">
        <v>30</v>
      </c>
      <c r="M632" t="str">
        <f t="shared" si="9"/>
        <v>Middle Age</v>
      </c>
      <c r="N632" t="s">
        <v>18</v>
      </c>
    </row>
    <row r="633" spans="1:14" x14ac:dyDescent="0.25">
      <c r="A633">
        <v>27643</v>
      </c>
      <c r="B633" t="s">
        <v>37</v>
      </c>
      <c r="C633" t="s">
        <v>39</v>
      </c>
      <c r="D633" s="5">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5">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5">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5">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5">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5">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5">
        <v>40000</v>
      </c>
      <c r="E639">
        <v>0</v>
      </c>
      <c r="F639" t="s">
        <v>27</v>
      </c>
      <c r="G639" t="s">
        <v>14</v>
      </c>
      <c r="H639" t="s">
        <v>18</v>
      </c>
      <c r="I639">
        <v>2</v>
      </c>
      <c r="J639" t="s">
        <v>26</v>
      </c>
      <c r="K639" t="s">
        <v>32</v>
      </c>
      <c r="L639">
        <v>30</v>
      </c>
      <c r="M639" t="str">
        <f t="shared" si="9"/>
        <v>Middle Age</v>
      </c>
      <c r="N639" t="s">
        <v>18</v>
      </c>
    </row>
    <row r="640" spans="1:14" x14ac:dyDescent="0.25">
      <c r="A640">
        <v>18949</v>
      </c>
      <c r="B640" t="s">
        <v>37</v>
      </c>
      <c r="C640" t="s">
        <v>39</v>
      </c>
      <c r="D640" s="5">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5">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5">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5">
        <v>50000</v>
      </c>
      <c r="E643">
        <v>4</v>
      </c>
      <c r="F643" t="s">
        <v>13</v>
      </c>
      <c r="G643" t="s">
        <v>28</v>
      </c>
      <c r="H643" t="s">
        <v>15</v>
      </c>
      <c r="I643">
        <v>2</v>
      </c>
      <c r="J643" t="s">
        <v>46</v>
      </c>
      <c r="K643" t="s">
        <v>32</v>
      </c>
      <c r="L643">
        <v>64</v>
      </c>
      <c r="M643" t="str">
        <f t="shared" ref="M643:M706" si="10">IF(L643&gt;=50,"Old",IF(L643&gt;=30,"Middle Age",IF(L643&lt;30,"Young Adult","Invalid")))</f>
        <v>Old</v>
      </c>
      <c r="N643" t="s">
        <v>18</v>
      </c>
    </row>
    <row r="644" spans="1:14" x14ac:dyDescent="0.25">
      <c r="A644">
        <v>21741</v>
      </c>
      <c r="B644" t="s">
        <v>36</v>
      </c>
      <c r="C644" t="s">
        <v>38</v>
      </c>
      <c r="D644" s="5">
        <v>70000</v>
      </c>
      <c r="E644">
        <v>3</v>
      </c>
      <c r="F644" t="s">
        <v>19</v>
      </c>
      <c r="G644" t="s">
        <v>21</v>
      </c>
      <c r="H644" t="s">
        <v>15</v>
      </c>
      <c r="I644">
        <v>2</v>
      </c>
      <c r="J644" t="s">
        <v>23</v>
      </c>
      <c r="K644" t="s">
        <v>32</v>
      </c>
      <c r="L644">
        <v>50</v>
      </c>
      <c r="M644" t="str">
        <f t="shared" si="10"/>
        <v>Old</v>
      </c>
      <c r="N644" t="s">
        <v>15</v>
      </c>
    </row>
    <row r="645" spans="1:14" x14ac:dyDescent="0.25">
      <c r="A645">
        <v>14572</v>
      </c>
      <c r="B645" t="s">
        <v>36</v>
      </c>
      <c r="C645" t="s">
        <v>38</v>
      </c>
      <c r="D645" s="5">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5">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38</v>
      </c>
      <c r="D647" s="5">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5">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5">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5">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5">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5">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39</v>
      </c>
      <c r="D653" s="5">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5">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5">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5">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5">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5">
        <v>60000</v>
      </c>
      <c r="E658">
        <v>2</v>
      </c>
      <c r="F658" t="s">
        <v>27</v>
      </c>
      <c r="G658" t="s">
        <v>21</v>
      </c>
      <c r="H658" t="s">
        <v>18</v>
      </c>
      <c r="I658">
        <v>2</v>
      </c>
      <c r="J658" t="s">
        <v>23</v>
      </c>
      <c r="K658" t="s">
        <v>32</v>
      </c>
      <c r="L658">
        <v>50</v>
      </c>
      <c r="M658" t="str">
        <f t="shared" si="10"/>
        <v>Old</v>
      </c>
      <c r="N658" t="s">
        <v>18</v>
      </c>
    </row>
    <row r="659" spans="1:14" x14ac:dyDescent="0.25">
      <c r="A659">
        <v>12964</v>
      </c>
      <c r="B659" t="s">
        <v>36</v>
      </c>
      <c r="C659" t="s">
        <v>39</v>
      </c>
      <c r="D659" s="5">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5">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5">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38</v>
      </c>
      <c r="D662" s="5">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5">
        <v>40000</v>
      </c>
      <c r="E663">
        <v>0</v>
      </c>
      <c r="F663" t="s">
        <v>27</v>
      </c>
      <c r="G663" t="s">
        <v>14</v>
      </c>
      <c r="H663" t="s">
        <v>18</v>
      </c>
      <c r="I663">
        <v>2</v>
      </c>
      <c r="J663" t="s">
        <v>16</v>
      </c>
      <c r="K663" t="s">
        <v>32</v>
      </c>
      <c r="L663">
        <v>28</v>
      </c>
      <c r="M663" t="str">
        <f t="shared" si="10"/>
        <v>Young Adult</v>
      </c>
      <c r="N663" t="s">
        <v>15</v>
      </c>
    </row>
    <row r="664" spans="1:14" x14ac:dyDescent="0.25">
      <c r="A664">
        <v>27637</v>
      </c>
      <c r="B664" t="s">
        <v>37</v>
      </c>
      <c r="C664" t="s">
        <v>38</v>
      </c>
      <c r="D664" s="5">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5">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5">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5">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5">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5">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38</v>
      </c>
      <c r="D670" s="5">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5">
        <v>60000</v>
      </c>
      <c r="E671">
        <v>2</v>
      </c>
      <c r="F671" t="s">
        <v>27</v>
      </c>
      <c r="G671" t="s">
        <v>21</v>
      </c>
      <c r="H671" t="s">
        <v>15</v>
      </c>
      <c r="I671">
        <v>2</v>
      </c>
      <c r="J671" t="s">
        <v>23</v>
      </c>
      <c r="K671" t="s">
        <v>32</v>
      </c>
      <c r="L671">
        <v>50</v>
      </c>
      <c r="M671" t="str">
        <f t="shared" si="10"/>
        <v>Old</v>
      </c>
      <c r="N671" t="s">
        <v>18</v>
      </c>
    </row>
    <row r="672" spans="1:14" x14ac:dyDescent="0.25">
      <c r="A672">
        <v>21471</v>
      </c>
      <c r="B672" t="s">
        <v>36</v>
      </c>
      <c r="C672" t="s">
        <v>39</v>
      </c>
      <c r="D672" s="5">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38</v>
      </c>
      <c r="D673" s="5">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5">
        <v>40000</v>
      </c>
      <c r="E674">
        <v>0</v>
      </c>
      <c r="F674" t="s">
        <v>27</v>
      </c>
      <c r="G674" t="s">
        <v>14</v>
      </c>
      <c r="H674" t="s">
        <v>15</v>
      </c>
      <c r="I674">
        <v>2</v>
      </c>
      <c r="J674" t="s">
        <v>23</v>
      </c>
      <c r="K674" t="s">
        <v>32</v>
      </c>
      <c r="L674">
        <v>30</v>
      </c>
      <c r="M674" t="str">
        <f t="shared" si="10"/>
        <v>Middle Age</v>
      </c>
      <c r="N674" t="s">
        <v>18</v>
      </c>
    </row>
    <row r="675" spans="1:14" x14ac:dyDescent="0.25">
      <c r="A675">
        <v>11817</v>
      </c>
      <c r="B675" t="s">
        <v>37</v>
      </c>
      <c r="C675" t="s">
        <v>38</v>
      </c>
      <c r="D675" s="5">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5">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5">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5">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5">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5">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5">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38</v>
      </c>
      <c r="D682" s="5">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5">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5">
        <v>20000</v>
      </c>
      <c r="E684">
        <v>3</v>
      </c>
      <c r="F684" t="s">
        <v>29</v>
      </c>
      <c r="G684" t="s">
        <v>20</v>
      </c>
      <c r="H684" t="s">
        <v>18</v>
      </c>
      <c r="I684">
        <v>2</v>
      </c>
      <c r="J684" t="s">
        <v>16</v>
      </c>
      <c r="K684" t="s">
        <v>32</v>
      </c>
      <c r="L684">
        <v>52</v>
      </c>
      <c r="M684" t="str">
        <f t="shared" si="10"/>
        <v>Old</v>
      </c>
      <c r="N684" t="s">
        <v>18</v>
      </c>
    </row>
    <row r="685" spans="1:14" x14ac:dyDescent="0.25">
      <c r="A685">
        <v>23461</v>
      </c>
      <c r="B685" t="s">
        <v>36</v>
      </c>
      <c r="C685" t="s">
        <v>38</v>
      </c>
      <c r="D685" s="5">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5">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5">
        <v>60000</v>
      </c>
      <c r="E687">
        <v>3</v>
      </c>
      <c r="F687" t="s">
        <v>31</v>
      </c>
      <c r="G687" t="s">
        <v>28</v>
      </c>
      <c r="H687" t="s">
        <v>15</v>
      </c>
      <c r="I687">
        <v>2</v>
      </c>
      <c r="J687" t="s">
        <v>23</v>
      </c>
      <c r="K687" t="s">
        <v>32</v>
      </c>
      <c r="L687">
        <v>53</v>
      </c>
      <c r="M687" t="str">
        <f t="shared" si="10"/>
        <v>Old</v>
      </c>
      <c r="N687" t="s">
        <v>15</v>
      </c>
    </row>
    <row r="688" spans="1:14" x14ac:dyDescent="0.25">
      <c r="A688">
        <v>12774</v>
      </c>
      <c r="B688" t="s">
        <v>36</v>
      </c>
      <c r="C688" t="s">
        <v>38</v>
      </c>
      <c r="D688" s="5">
        <v>40000</v>
      </c>
      <c r="E688">
        <v>1</v>
      </c>
      <c r="F688" t="s">
        <v>19</v>
      </c>
      <c r="G688" t="s">
        <v>20</v>
      </c>
      <c r="H688" t="s">
        <v>15</v>
      </c>
      <c r="I688">
        <v>1</v>
      </c>
      <c r="J688" t="s">
        <v>26</v>
      </c>
      <c r="K688" t="s">
        <v>32</v>
      </c>
      <c r="L688">
        <v>51</v>
      </c>
      <c r="M688" t="str">
        <f t="shared" si="10"/>
        <v>Old</v>
      </c>
      <c r="N688" t="s">
        <v>15</v>
      </c>
    </row>
    <row r="689" spans="1:14" x14ac:dyDescent="0.25">
      <c r="A689">
        <v>18910</v>
      </c>
      <c r="B689" t="s">
        <v>37</v>
      </c>
      <c r="C689" t="s">
        <v>39</v>
      </c>
      <c r="D689" s="5">
        <v>30000</v>
      </c>
      <c r="E689">
        <v>0</v>
      </c>
      <c r="F689" t="s">
        <v>19</v>
      </c>
      <c r="G689" t="s">
        <v>14</v>
      </c>
      <c r="H689" t="s">
        <v>15</v>
      </c>
      <c r="I689">
        <v>2</v>
      </c>
      <c r="J689" t="s">
        <v>23</v>
      </c>
      <c r="K689" t="s">
        <v>32</v>
      </c>
      <c r="L689">
        <v>30</v>
      </c>
      <c r="M689" t="str">
        <f t="shared" si="10"/>
        <v>Middle Age</v>
      </c>
      <c r="N689" t="s">
        <v>18</v>
      </c>
    </row>
    <row r="690" spans="1:14" x14ac:dyDescent="0.25">
      <c r="A690">
        <v>11699</v>
      </c>
      <c r="B690" t="s">
        <v>37</v>
      </c>
      <c r="C690" t="s">
        <v>39</v>
      </c>
      <c r="D690" s="5">
        <v>60000</v>
      </c>
      <c r="E690">
        <v>0</v>
      </c>
      <c r="F690" t="s">
        <v>13</v>
      </c>
      <c r="G690" t="s">
        <v>14</v>
      </c>
      <c r="H690" t="s">
        <v>18</v>
      </c>
      <c r="I690">
        <v>2</v>
      </c>
      <c r="J690" t="s">
        <v>16</v>
      </c>
      <c r="K690" t="s">
        <v>32</v>
      </c>
      <c r="L690">
        <v>30</v>
      </c>
      <c r="M690" t="str">
        <f t="shared" si="10"/>
        <v>Middle Age</v>
      </c>
      <c r="N690" t="s">
        <v>18</v>
      </c>
    </row>
    <row r="691" spans="1:14" x14ac:dyDescent="0.25">
      <c r="A691">
        <v>16725</v>
      </c>
      <c r="B691" t="s">
        <v>36</v>
      </c>
      <c r="C691" t="s">
        <v>39</v>
      </c>
      <c r="D691" s="5">
        <v>30000</v>
      </c>
      <c r="E691">
        <v>0</v>
      </c>
      <c r="F691" t="s">
        <v>27</v>
      </c>
      <c r="G691" t="s">
        <v>14</v>
      </c>
      <c r="H691" t="s">
        <v>15</v>
      </c>
      <c r="I691">
        <v>2</v>
      </c>
      <c r="J691" t="s">
        <v>23</v>
      </c>
      <c r="K691" t="s">
        <v>32</v>
      </c>
      <c r="L691">
        <v>26</v>
      </c>
      <c r="M691" t="str">
        <f t="shared" si="10"/>
        <v>Young Adult</v>
      </c>
      <c r="N691" t="s">
        <v>18</v>
      </c>
    </row>
    <row r="692" spans="1:14" x14ac:dyDescent="0.25">
      <c r="A692">
        <v>28269</v>
      </c>
      <c r="B692" t="s">
        <v>37</v>
      </c>
      <c r="C692" t="s">
        <v>38</v>
      </c>
      <c r="D692" s="5">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5">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5">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5">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5">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5">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5">
        <v>60000</v>
      </c>
      <c r="E698">
        <v>0</v>
      </c>
      <c r="F698" t="s">
        <v>19</v>
      </c>
      <c r="G698" t="s">
        <v>21</v>
      </c>
      <c r="H698" t="s">
        <v>18</v>
      </c>
      <c r="I698">
        <v>2</v>
      </c>
      <c r="J698" t="s">
        <v>26</v>
      </c>
      <c r="K698" t="s">
        <v>32</v>
      </c>
      <c r="L698">
        <v>30</v>
      </c>
      <c r="M698" t="str">
        <f t="shared" si="10"/>
        <v>Middle Age</v>
      </c>
      <c r="N698" t="s">
        <v>18</v>
      </c>
    </row>
    <row r="699" spans="1:14" x14ac:dyDescent="0.25">
      <c r="A699">
        <v>14090</v>
      </c>
      <c r="B699" t="s">
        <v>36</v>
      </c>
      <c r="C699" t="s">
        <v>38</v>
      </c>
      <c r="D699" s="5">
        <v>30000</v>
      </c>
      <c r="E699">
        <v>0</v>
      </c>
      <c r="F699" t="s">
        <v>29</v>
      </c>
      <c r="G699" t="s">
        <v>20</v>
      </c>
      <c r="H699" t="s">
        <v>18</v>
      </c>
      <c r="I699">
        <v>2</v>
      </c>
      <c r="J699" t="s">
        <v>16</v>
      </c>
      <c r="K699" t="s">
        <v>32</v>
      </c>
      <c r="L699">
        <v>28</v>
      </c>
      <c r="M699" t="str">
        <f t="shared" si="10"/>
        <v>Young Adult</v>
      </c>
      <c r="N699" t="s">
        <v>18</v>
      </c>
    </row>
    <row r="700" spans="1:14" x14ac:dyDescent="0.25">
      <c r="A700">
        <v>27040</v>
      </c>
      <c r="B700" t="s">
        <v>36</v>
      </c>
      <c r="C700" t="s">
        <v>39</v>
      </c>
      <c r="D700" s="5">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5">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5">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5">
        <v>30000</v>
      </c>
      <c r="E703">
        <v>0</v>
      </c>
      <c r="F703" t="s">
        <v>27</v>
      </c>
      <c r="G703" t="s">
        <v>14</v>
      </c>
      <c r="H703" t="s">
        <v>15</v>
      </c>
      <c r="I703">
        <v>2</v>
      </c>
      <c r="J703" t="s">
        <v>23</v>
      </c>
      <c r="K703" t="s">
        <v>32</v>
      </c>
      <c r="L703">
        <v>26</v>
      </c>
      <c r="M703" t="str">
        <f t="shared" si="10"/>
        <v>Young Adult</v>
      </c>
      <c r="N703" t="s">
        <v>18</v>
      </c>
    </row>
    <row r="704" spans="1:14" x14ac:dyDescent="0.25">
      <c r="A704">
        <v>13314</v>
      </c>
      <c r="B704" t="s">
        <v>36</v>
      </c>
      <c r="C704" t="s">
        <v>39</v>
      </c>
      <c r="D704" s="5">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5">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5">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5">
        <v>70000</v>
      </c>
      <c r="E707">
        <v>4</v>
      </c>
      <c r="F707" t="s">
        <v>13</v>
      </c>
      <c r="G707" t="s">
        <v>28</v>
      </c>
      <c r="H707" t="s">
        <v>15</v>
      </c>
      <c r="I707">
        <v>1</v>
      </c>
      <c r="J707" t="s">
        <v>46</v>
      </c>
      <c r="K707" t="s">
        <v>32</v>
      </c>
      <c r="L707">
        <v>59</v>
      </c>
      <c r="M707" t="str">
        <f t="shared" ref="M707:M770" si="11">IF(L707&gt;=50,"Old",IF(L707&gt;=30,"Middle Age",IF(L707&lt;30,"Young Adult","Invalid")))</f>
        <v>Old</v>
      </c>
      <c r="N707" t="s">
        <v>18</v>
      </c>
    </row>
    <row r="708" spans="1:14" x14ac:dyDescent="0.25">
      <c r="A708">
        <v>20296</v>
      </c>
      <c r="B708" t="s">
        <v>37</v>
      </c>
      <c r="C708" t="s">
        <v>38</v>
      </c>
      <c r="D708" s="5">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5">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5">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38</v>
      </c>
      <c r="D711" s="5">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39</v>
      </c>
      <c r="D712" s="5">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5">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38</v>
      </c>
      <c r="D714" s="5">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5">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5">
        <v>40000</v>
      </c>
      <c r="E716">
        <v>0</v>
      </c>
      <c r="F716" t="s">
        <v>27</v>
      </c>
      <c r="G716" t="s">
        <v>14</v>
      </c>
      <c r="H716" t="s">
        <v>15</v>
      </c>
      <c r="I716">
        <v>2</v>
      </c>
      <c r="J716" t="s">
        <v>23</v>
      </c>
      <c r="K716" t="s">
        <v>32</v>
      </c>
      <c r="L716">
        <v>28</v>
      </c>
      <c r="M716" t="str">
        <f t="shared" si="11"/>
        <v>Young Adult</v>
      </c>
      <c r="N716" t="s">
        <v>15</v>
      </c>
    </row>
    <row r="717" spans="1:14" x14ac:dyDescent="0.25">
      <c r="A717">
        <v>27090</v>
      </c>
      <c r="B717" t="s">
        <v>36</v>
      </c>
      <c r="C717" t="s">
        <v>38</v>
      </c>
      <c r="D717" s="5">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5">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5">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5">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5">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5">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5">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5">
        <v>70000</v>
      </c>
      <c r="E724">
        <v>3</v>
      </c>
      <c r="F724" t="s">
        <v>31</v>
      </c>
      <c r="G724" t="s">
        <v>28</v>
      </c>
      <c r="H724" t="s">
        <v>18</v>
      </c>
      <c r="I724">
        <v>2</v>
      </c>
      <c r="J724" t="s">
        <v>26</v>
      </c>
      <c r="K724" t="s">
        <v>32</v>
      </c>
      <c r="L724">
        <v>53</v>
      </c>
      <c r="M724" t="str">
        <f t="shared" si="11"/>
        <v>Old</v>
      </c>
      <c r="N724" t="s">
        <v>18</v>
      </c>
    </row>
    <row r="725" spans="1:14" x14ac:dyDescent="0.25">
      <c r="A725">
        <v>26678</v>
      </c>
      <c r="B725" t="s">
        <v>37</v>
      </c>
      <c r="C725" t="s">
        <v>38</v>
      </c>
      <c r="D725" s="5">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5">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5">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5">
        <v>20000</v>
      </c>
      <c r="E728">
        <v>2</v>
      </c>
      <c r="F728" t="s">
        <v>27</v>
      </c>
      <c r="G728" t="s">
        <v>25</v>
      </c>
      <c r="H728" t="s">
        <v>18</v>
      </c>
      <c r="I728">
        <v>2</v>
      </c>
      <c r="J728" t="s">
        <v>16</v>
      </c>
      <c r="K728" t="s">
        <v>32</v>
      </c>
      <c r="L728">
        <v>53</v>
      </c>
      <c r="M728" t="str">
        <f t="shared" si="11"/>
        <v>Old</v>
      </c>
      <c r="N728" t="s">
        <v>18</v>
      </c>
    </row>
    <row r="729" spans="1:14" x14ac:dyDescent="0.25">
      <c r="A729">
        <v>16144</v>
      </c>
      <c r="B729" t="s">
        <v>36</v>
      </c>
      <c r="C729" t="s">
        <v>39</v>
      </c>
      <c r="D729" s="5">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5">
        <v>40000</v>
      </c>
      <c r="E730">
        <v>0</v>
      </c>
      <c r="F730" t="s">
        <v>27</v>
      </c>
      <c r="G730" t="s">
        <v>14</v>
      </c>
      <c r="H730" t="s">
        <v>15</v>
      </c>
      <c r="I730">
        <v>2</v>
      </c>
      <c r="J730" t="s">
        <v>23</v>
      </c>
      <c r="K730" t="s">
        <v>32</v>
      </c>
      <c r="L730">
        <v>27</v>
      </c>
      <c r="M730" t="str">
        <f t="shared" si="11"/>
        <v>Young Adult</v>
      </c>
      <c r="N730" t="s">
        <v>18</v>
      </c>
    </row>
    <row r="731" spans="1:14" x14ac:dyDescent="0.25">
      <c r="A731">
        <v>11886</v>
      </c>
      <c r="B731" t="s">
        <v>36</v>
      </c>
      <c r="C731" t="s">
        <v>38</v>
      </c>
      <c r="D731" s="5">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5">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5">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5">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5">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5">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5">
        <v>30000</v>
      </c>
      <c r="E737">
        <v>0</v>
      </c>
      <c r="F737" t="s">
        <v>19</v>
      </c>
      <c r="G737" t="s">
        <v>14</v>
      </c>
      <c r="H737" t="s">
        <v>15</v>
      </c>
      <c r="I737">
        <v>1</v>
      </c>
      <c r="J737" t="s">
        <v>23</v>
      </c>
      <c r="K737" t="s">
        <v>32</v>
      </c>
      <c r="L737">
        <v>26</v>
      </c>
      <c r="M737" t="str">
        <f t="shared" si="11"/>
        <v>Young Adult</v>
      </c>
      <c r="N737" t="s">
        <v>18</v>
      </c>
    </row>
    <row r="738" spans="1:14" x14ac:dyDescent="0.25">
      <c r="A738">
        <v>19634</v>
      </c>
      <c r="B738" t="s">
        <v>36</v>
      </c>
      <c r="C738" t="s">
        <v>39</v>
      </c>
      <c r="D738" s="5">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5">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5">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5">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39</v>
      </c>
      <c r="D742" s="5">
        <v>40000</v>
      </c>
      <c r="E742">
        <v>4</v>
      </c>
      <c r="F742" t="s">
        <v>19</v>
      </c>
      <c r="G742" t="s">
        <v>20</v>
      </c>
      <c r="H742" t="s">
        <v>18</v>
      </c>
      <c r="I742">
        <v>0</v>
      </c>
      <c r="J742" t="s">
        <v>16</v>
      </c>
      <c r="K742" t="s">
        <v>32</v>
      </c>
      <c r="L742">
        <v>30</v>
      </c>
      <c r="M742" t="str">
        <f t="shared" si="11"/>
        <v>Middle Age</v>
      </c>
      <c r="N742" t="s">
        <v>18</v>
      </c>
    </row>
    <row r="743" spans="1:14" x14ac:dyDescent="0.25">
      <c r="A743">
        <v>14913</v>
      </c>
      <c r="B743" t="s">
        <v>36</v>
      </c>
      <c r="C743" t="s">
        <v>38</v>
      </c>
      <c r="D743" s="5">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5">
        <v>30000</v>
      </c>
      <c r="E744">
        <v>0</v>
      </c>
      <c r="F744" t="s">
        <v>27</v>
      </c>
      <c r="G744" t="s">
        <v>14</v>
      </c>
      <c r="H744" t="s">
        <v>15</v>
      </c>
      <c r="I744">
        <v>2</v>
      </c>
      <c r="J744" t="s">
        <v>23</v>
      </c>
      <c r="K744" t="s">
        <v>32</v>
      </c>
      <c r="L744">
        <v>30</v>
      </c>
      <c r="M744" t="str">
        <f t="shared" si="11"/>
        <v>Middle Age</v>
      </c>
      <c r="N744" t="s">
        <v>18</v>
      </c>
    </row>
    <row r="745" spans="1:14" x14ac:dyDescent="0.25">
      <c r="A745">
        <v>13296</v>
      </c>
      <c r="B745" t="s">
        <v>36</v>
      </c>
      <c r="C745" t="s">
        <v>39</v>
      </c>
      <c r="D745" s="5">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5">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39</v>
      </c>
      <c r="D747" s="5">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5">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38</v>
      </c>
      <c r="D749" s="5">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5">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5">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5">
        <v>30000</v>
      </c>
      <c r="E752">
        <v>2</v>
      </c>
      <c r="F752" t="s">
        <v>27</v>
      </c>
      <c r="G752" t="s">
        <v>14</v>
      </c>
      <c r="H752" t="s">
        <v>15</v>
      </c>
      <c r="I752">
        <v>2</v>
      </c>
      <c r="J752" t="s">
        <v>26</v>
      </c>
      <c r="K752" t="s">
        <v>32</v>
      </c>
      <c r="L752">
        <v>50</v>
      </c>
      <c r="M752" t="str">
        <f t="shared" si="11"/>
        <v>Old</v>
      </c>
      <c r="N752" t="s">
        <v>18</v>
      </c>
    </row>
    <row r="753" spans="1:14" x14ac:dyDescent="0.25">
      <c r="A753">
        <v>11801</v>
      </c>
      <c r="B753" t="s">
        <v>36</v>
      </c>
      <c r="C753" t="s">
        <v>39</v>
      </c>
      <c r="D753" s="5">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5">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5">
        <v>40000</v>
      </c>
      <c r="E755">
        <v>0</v>
      </c>
      <c r="F755" t="s">
        <v>19</v>
      </c>
      <c r="G755" t="s">
        <v>14</v>
      </c>
      <c r="H755" t="s">
        <v>18</v>
      </c>
      <c r="I755">
        <v>1</v>
      </c>
      <c r="J755" t="s">
        <v>26</v>
      </c>
      <c r="K755" t="s">
        <v>32</v>
      </c>
      <c r="L755">
        <v>27</v>
      </c>
      <c r="M755" t="str">
        <f t="shared" si="11"/>
        <v>Young Adult</v>
      </c>
      <c r="N755" t="s">
        <v>18</v>
      </c>
    </row>
    <row r="756" spans="1:14" x14ac:dyDescent="0.25">
      <c r="A756">
        <v>23668</v>
      </c>
      <c r="B756" t="s">
        <v>36</v>
      </c>
      <c r="C756" t="s">
        <v>38</v>
      </c>
      <c r="D756" s="5">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5">
        <v>60000</v>
      </c>
      <c r="E757">
        <v>3</v>
      </c>
      <c r="F757" t="s">
        <v>27</v>
      </c>
      <c r="G757" t="s">
        <v>21</v>
      </c>
      <c r="H757" t="s">
        <v>18</v>
      </c>
      <c r="I757">
        <v>2</v>
      </c>
      <c r="J757" t="s">
        <v>22</v>
      </c>
      <c r="K757" t="s">
        <v>32</v>
      </c>
      <c r="L757">
        <v>53</v>
      </c>
      <c r="M757" t="str">
        <f t="shared" si="11"/>
        <v>Old</v>
      </c>
      <c r="N757" t="s">
        <v>18</v>
      </c>
    </row>
    <row r="758" spans="1:14" x14ac:dyDescent="0.25">
      <c r="A758">
        <v>27261</v>
      </c>
      <c r="B758" t="s">
        <v>36</v>
      </c>
      <c r="C758" t="s">
        <v>39</v>
      </c>
      <c r="D758" s="5">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5">
        <v>30000</v>
      </c>
      <c r="E759">
        <v>1</v>
      </c>
      <c r="F759" t="s">
        <v>27</v>
      </c>
      <c r="G759" t="s">
        <v>20</v>
      </c>
      <c r="H759" t="s">
        <v>15</v>
      </c>
      <c r="I759">
        <v>2</v>
      </c>
      <c r="J759" t="s">
        <v>26</v>
      </c>
      <c r="K759" t="s">
        <v>32</v>
      </c>
      <c r="L759">
        <v>51</v>
      </c>
      <c r="M759" t="str">
        <f t="shared" si="11"/>
        <v>Old</v>
      </c>
      <c r="N759" t="s">
        <v>15</v>
      </c>
    </row>
    <row r="760" spans="1:14" x14ac:dyDescent="0.25">
      <c r="A760">
        <v>21714</v>
      </c>
      <c r="B760" t="s">
        <v>37</v>
      </c>
      <c r="C760" t="s">
        <v>38</v>
      </c>
      <c r="D760" s="5">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5">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5">
        <v>20000</v>
      </c>
      <c r="E762">
        <v>3</v>
      </c>
      <c r="F762" t="s">
        <v>29</v>
      </c>
      <c r="G762" t="s">
        <v>20</v>
      </c>
      <c r="H762" t="s">
        <v>18</v>
      </c>
      <c r="I762">
        <v>2</v>
      </c>
      <c r="J762" t="s">
        <v>16</v>
      </c>
      <c r="K762" t="s">
        <v>32</v>
      </c>
      <c r="L762">
        <v>50</v>
      </c>
      <c r="M762" t="str">
        <f t="shared" si="11"/>
        <v>Old</v>
      </c>
      <c r="N762" t="s">
        <v>18</v>
      </c>
    </row>
    <row r="763" spans="1:14" x14ac:dyDescent="0.25">
      <c r="A763">
        <v>13216</v>
      </c>
      <c r="B763" t="s">
        <v>36</v>
      </c>
      <c r="C763" t="s">
        <v>38</v>
      </c>
      <c r="D763" s="5">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39</v>
      </c>
      <c r="D764" s="5">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5">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5">
        <v>60000</v>
      </c>
      <c r="E766">
        <v>0</v>
      </c>
      <c r="F766" t="s">
        <v>19</v>
      </c>
      <c r="G766" t="s">
        <v>14</v>
      </c>
      <c r="H766" t="s">
        <v>18</v>
      </c>
      <c r="I766">
        <v>1</v>
      </c>
      <c r="J766" t="s">
        <v>26</v>
      </c>
      <c r="K766" t="s">
        <v>32</v>
      </c>
      <c r="L766">
        <v>27</v>
      </c>
      <c r="M766" t="str">
        <f t="shared" si="11"/>
        <v>Young Adult</v>
      </c>
      <c r="N766" t="s">
        <v>18</v>
      </c>
    </row>
    <row r="767" spans="1:14" x14ac:dyDescent="0.25">
      <c r="A767">
        <v>16753</v>
      </c>
      <c r="B767" t="s">
        <v>37</v>
      </c>
      <c r="C767" t="s">
        <v>38</v>
      </c>
      <c r="D767" s="5">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5">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38</v>
      </c>
      <c r="D769" s="5">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5">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5">
        <v>100000</v>
      </c>
      <c r="E771">
        <v>4</v>
      </c>
      <c r="F771" t="s">
        <v>13</v>
      </c>
      <c r="G771" t="s">
        <v>28</v>
      </c>
      <c r="H771" t="s">
        <v>15</v>
      </c>
      <c r="I771">
        <v>4</v>
      </c>
      <c r="J771" t="s">
        <v>16</v>
      </c>
      <c r="K771" t="s">
        <v>32</v>
      </c>
      <c r="L771">
        <v>40</v>
      </c>
      <c r="M771" t="str">
        <f t="shared" ref="M771:M834" si="12">IF(L771&gt;=50,"Old",IF(L771&gt;=30,"Middle Age",IF(L771&lt;30,"Young Adult","Invalid")))</f>
        <v>Middle Age</v>
      </c>
      <c r="N771" t="s">
        <v>18</v>
      </c>
    </row>
    <row r="772" spans="1:14" x14ac:dyDescent="0.25">
      <c r="A772">
        <v>17699</v>
      </c>
      <c r="B772" t="s">
        <v>36</v>
      </c>
      <c r="C772" t="s">
        <v>39</v>
      </c>
      <c r="D772" s="5">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5">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5">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5">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5">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5">
        <v>70000</v>
      </c>
      <c r="E777">
        <v>2</v>
      </c>
      <c r="F777" t="s">
        <v>29</v>
      </c>
      <c r="G777" t="s">
        <v>14</v>
      </c>
      <c r="H777" t="s">
        <v>15</v>
      </c>
      <c r="I777">
        <v>2</v>
      </c>
      <c r="J777" t="s">
        <v>46</v>
      </c>
      <c r="K777" t="s">
        <v>32</v>
      </c>
      <c r="L777">
        <v>54</v>
      </c>
      <c r="M777" t="str">
        <f t="shared" si="12"/>
        <v>Old</v>
      </c>
      <c r="N777" t="s">
        <v>18</v>
      </c>
    </row>
    <row r="778" spans="1:14" x14ac:dyDescent="0.25">
      <c r="A778">
        <v>26490</v>
      </c>
      <c r="B778" t="s">
        <v>37</v>
      </c>
      <c r="C778" t="s">
        <v>39</v>
      </c>
      <c r="D778" s="5">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5">
        <v>40000</v>
      </c>
      <c r="E779">
        <v>0</v>
      </c>
      <c r="F779" t="s">
        <v>27</v>
      </c>
      <c r="G779" t="s">
        <v>14</v>
      </c>
      <c r="H779" t="s">
        <v>15</v>
      </c>
      <c r="I779">
        <v>2</v>
      </c>
      <c r="J779" t="s">
        <v>23</v>
      </c>
      <c r="K779" t="s">
        <v>32</v>
      </c>
      <c r="L779">
        <v>27</v>
      </c>
      <c r="M779" t="str">
        <f t="shared" si="12"/>
        <v>Young Adult</v>
      </c>
      <c r="N779" t="s">
        <v>18</v>
      </c>
    </row>
    <row r="780" spans="1:14" x14ac:dyDescent="0.25">
      <c r="A780">
        <v>17260</v>
      </c>
      <c r="B780" t="s">
        <v>36</v>
      </c>
      <c r="C780" t="s">
        <v>39</v>
      </c>
      <c r="D780" s="5">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5">
        <v>80000</v>
      </c>
      <c r="E781">
        <v>3</v>
      </c>
      <c r="F781" t="s">
        <v>19</v>
      </c>
      <c r="G781" t="s">
        <v>21</v>
      </c>
      <c r="H781" t="s">
        <v>18</v>
      </c>
      <c r="I781">
        <v>2</v>
      </c>
      <c r="J781" t="s">
        <v>22</v>
      </c>
      <c r="K781" t="s">
        <v>32</v>
      </c>
      <c r="L781">
        <v>50</v>
      </c>
      <c r="M781" t="str">
        <f t="shared" si="12"/>
        <v>Old</v>
      </c>
      <c r="N781" t="s">
        <v>15</v>
      </c>
    </row>
    <row r="782" spans="1:14" x14ac:dyDescent="0.25">
      <c r="A782">
        <v>18105</v>
      </c>
      <c r="B782" t="s">
        <v>36</v>
      </c>
      <c r="C782" t="s">
        <v>38</v>
      </c>
      <c r="D782" s="5">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39</v>
      </c>
      <c r="D783" s="5">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5">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5">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5">
        <v>10000</v>
      </c>
      <c r="E786">
        <v>2</v>
      </c>
      <c r="F786" t="s">
        <v>27</v>
      </c>
      <c r="G786" t="s">
        <v>25</v>
      </c>
      <c r="H786" t="s">
        <v>15</v>
      </c>
      <c r="I786">
        <v>2</v>
      </c>
      <c r="J786" t="s">
        <v>26</v>
      </c>
      <c r="K786" t="s">
        <v>32</v>
      </c>
      <c r="L786">
        <v>53</v>
      </c>
      <c r="M786" t="str">
        <f t="shared" si="12"/>
        <v>Old</v>
      </c>
      <c r="N786" t="s">
        <v>15</v>
      </c>
    </row>
    <row r="787" spans="1:14" x14ac:dyDescent="0.25">
      <c r="A787">
        <v>24496</v>
      </c>
      <c r="B787" t="s">
        <v>37</v>
      </c>
      <c r="C787" t="s">
        <v>38</v>
      </c>
      <c r="D787" s="5">
        <v>40000</v>
      </c>
      <c r="E787">
        <v>0</v>
      </c>
      <c r="F787" t="s">
        <v>27</v>
      </c>
      <c r="G787" t="s">
        <v>14</v>
      </c>
      <c r="H787" t="s">
        <v>18</v>
      </c>
      <c r="I787">
        <v>2</v>
      </c>
      <c r="J787" t="s">
        <v>16</v>
      </c>
      <c r="K787" t="s">
        <v>32</v>
      </c>
      <c r="L787">
        <v>28</v>
      </c>
      <c r="M787" t="str">
        <f t="shared" si="12"/>
        <v>Young Adult</v>
      </c>
      <c r="N787" t="s">
        <v>15</v>
      </c>
    </row>
    <row r="788" spans="1:14" x14ac:dyDescent="0.25">
      <c r="A788">
        <v>15468</v>
      </c>
      <c r="B788" t="s">
        <v>36</v>
      </c>
      <c r="C788" t="s">
        <v>38</v>
      </c>
      <c r="D788" s="5">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5">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5">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5">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5">
        <v>80000</v>
      </c>
      <c r="E792">
        <v>2</v>
      </c>
      <c r="F792" t="s">
        <v>29</v>
      </c>
      <c r="G792" t="s">
        <v>14</v>
      </c>
      <c r="H792" t="s">
        <v>18</v>
      </c>
      <c r="I792">
        <v>2</v>
      </c>
      <c r="J792" t="s">
        <v>26</v>
      </c>
      <c r="K792" t="s">
        <v>32</v>
      </c>
      <c r="L792">
        <v>50</v>
      </c>
      <c r="M792" t="str">
        <f t="shared" si="12"/>
        <v>Old</v>
      </c>
      <c r="N792" t="s">
        <v>18</v>
      </c>
    </row>
    <row r="793" spans="1:14" x14ac:dyDescent="0.25">
      <c r="A793">
        <v>18363</v>
      </c>
      <c r="B793" t="s">
        <v>36</v>
      </c>
      <c r="C793" t="s">
        <v>39</v>
      </c>
      <c r="D793" s="5">
        <v>40000</v>
      </c>
      <c r="E793">
        <v>0</v>
      </c>
      <c r="F793" t="s">
        <v>27</v>
      </c>
      <c r="G793" t="s">
        <v>14</v>
      </c>
      <c r="H793" t="s">
        <v>15</v>
      </c>
      <c r="I793">
        <v>2</v>
      </c>
      <c r="J793" t="s">
        <v>23</v>
      </c>
      <c r="K793" t="s">
        <v>32</v>
      </c>
      <c r="L793">
        <v>28</v>
      </c>
      <c r="M793" t="str">
        <f t="shared" si="12"/>
        <v>Young Adult</v>
      </c>
      <c r="N793" t="s">
        <v>15</v>
      </c>
    </row>
    <row r="794" spans="1:14" x14ac:dyDescent="0.25">
      <c r="A794">
        <v>23256</v>
      </c>
      <c r="B794" t="s">
        <v>37</v>
      </c>
      <c r="C794" t="s">
        <v>39</v>
      </c>
      <c r="D794" s="5">
        <v>30000</v>
      </c>
      <c r="E794">
        <v>1</v>
      </c>
      <c r="F794" t="s">
        <v>27</v>
      </c>
      <c r="G794" t="s">
        <v>20</v>
      </c>
      <c r="H794" t="s">
        <v>18</v>
      </c>
      <c r="I794">
        <v>1</v>
      </c>
      <c r="J794" t="s">
        <v>23</v>
      </c>
      <c r="K794" t="s">
        <v>32</v>
      </c>
      <c r="L794">
        <v>52</v>
      </c>
      <c r="M794" t="str">
        <f t="shared" si="12"/>
        <v>Old</v>
      </c>
      <c r="N794" t="s">
        <v>18</v>
      </c>
    </row>
    <row r="795" spans="1:14" x14ac:dyDescent="0.25">
      <c r="A795">
        <v>12768</v>
      </c>
      <c r="B795" t="s">
        <v>36</v>
      </c>
      <c r="C795" t="s">
        <v>39</v>
      </c>
      <c r="D795" s="5">
        <v>30000</v>
      </c>
      <c r="E795">
        <v>1</v>
      </c>
      <c r="F795" t="s">
        <v>27</v>
      </c>
      <c r="G795" t="s">
        <v>20</v>
      </c>
      <c r="H795" t="s">
        <v>15</v>
      </c>
      <c r="I795">
        <v>1</v>
      </c>
      <c r="J795" t="s">
        <v>22</v>
      </c>
      <c r="K795" t="s">
        <v>32</v>
      </c>
      <c r="L795">
        <v>52</v>
      </c>
      <c r="M795" t="str">
        <f t="shared" si="12"/>
        <v>Old</v>
      </c>
      <c r="N795" t="s">
        <v>15</v>
      </c>
    </row>
    <row r="796" spans="1:14" x14ac:dyDescent="0.25">
      <c r="A796">
        <v>20361</v>
      </c>
      <c r="B796" t="s">
        <v>36</v>
      </c>
      <c r="C796" t="s">
        <v>39</v>
      </c>
      <c r="D796" s="5">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5">
        <v>60000</v>
      </c>
      <c r="E797">
        <v>2</v>
      </c>
      <c r="F797" t="s">
        <v>27</v>
      </c>
      <c r="G797" t="s">
        <v>21</v>
      </c>
      <c r="H797" t="s">
        <v>15</v>
      </c>
      <c r="I797">
        <v>2</v>
      </c>
      <c r="J797" t="s">
        <v>23</v>
      </c>
      <c r="K797" t="s">
        <v>32</v>
      </c>
      <c r="L797">
        <v>51</v>
      </c>
      <c r="M797" t="str">
        <f t="shared" si="12"/>
        <v>Old</v>
      </c>
      <c r="N797" t="s">
        <v>18</v>
      </c>
    </row>
    <row r="798" spans="1:14" x14ac:dyDescent="0.25">
      <c r="A798">
        <v>13382</v>
      </c>
      <c r="B798" t="s">
        <v>36</v>
      </c>
      <c r="C798" t="s">
        <v>39</v>
      </c>
      <c r="D798" s="5">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5">
        <v>60000</v>
      </c>
      <c r="E799">
        <v>0</v>
      </c>
      <c r="F799" t="s">
        <v>19</v>
      </c>
      <c r="G799" t="s">
        <v>14</v>
      </c>
      <c r="H799" t="s">
        <v>15</v>
      </c>
      <c r="I799">
        <v>1</v>
      </c>
      <c r="J799" t="s">
        <v>23</v>
      </c>
      <c r="K799" t="s">
        <v>32</v>
      </c>
      <c r="L799">
        <v>27</v>
      </c>
      <c r="M799" t="str">
        <f t="shared" si="12"/>
        <v>Young Adult</v>
      </c>
      <c r="N799" t="s">
        <v>15</v>
      </c>
    </row>
    <row r="800" spans="1:14" x14ac:dyDescent="0.25">
      <c r="A800">
        <v>22971</v>
      </c>
      <c r="B800" t="s">
        <v>37</v>
      </c>
      <c r="C800" t="s">
        <v>38</v>
      </c>
      <c r="D800" s="5">
        <v>30000</v>
      </c>
      <c r="E800">
        <v>0</v>
      </c>
      <c r="F800" t="s">
        <v>27</v>
      </c>
      <c r="G800" t="s">
        <v>14</v>
      </c>
      <c r="H800" t="s">
        <v>18</v>
      </c>
      <c r="I800">
        <v>2</v>
      </c>
      <c r="J800" t="s">
        <v>16</v>
      </c>
      <c r="K800" t="s">
        <v>32</v>
      </c>
      <c r="L800">
        <v>25</v>
      </c>
      <c r="M800" t="str">
        <f t="shared" si="12"/>
        <v>Young Adult</v>
      </c>
      <c r="N800" t="s">
        <v>15</v>
      </c>
    </row>
    <row r="801" spans="1:14" x14ac:dyDescent="0.25">
      <c r="A801">
        <v>15287</v>
      </c>
      <c r="B801" t="s">
        <v>37</v>
      </c>
      <c r="C801" t="s">
        <v>38</v>
      </c>
      <c r="D801" s="5">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5">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5">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5">
        <v>40000</v>
      </c>
      <c r="E804">
        <v>0</v>
      </c>
      <c r="F804" t="s">
        <v>19</v>
      </c>
      <c r="G804" t="s">
        <v>14</v>
      </c>
      <c r="H804" t="s">
        <v>15</v>
      </c>
      <c r="I804">
        <v>1</v>
      </c>
      <c r="J804" t="s">
        <v>23</v>
      </c>
      <c r="K804" t="s">
        <v>32</v>
      </c>
      <c r="L804">
        <v>27</v>
      </c>
      <c r="M804" t="str">
        <f t="shared" si="12"/>
        <v>Young Adult</v>
      </c>
      <c r="N804" t="s">
        <v>18</v>
      </c>
    </row>
    <row r="805" spans="1:14" x14ac:dyDescent="0.25">
      <c r="A805">
        <v>15255</v>
      </c>
      <c r="B805" t="s">
        <v>36</v>
      </c>
      <c r="C805" t="s">
        <v>39</v>
      </c>
      <c r="D805" s="5">
        <v>40000</v>
      </c>
      <c r="E805">
        <v>0</v>
      </c>
      <c r="F805" t="s">
        <v>27</v>
      </c>
      <c r="G805" t="s">
        <v>14</v>
      </c>
      <c r="H805" t="s">
        <v>15</v>
      </c>
      <c r="I805">
        <v>2</v>
      </c>
      <c r="J805" t="s">
        <v>23</v>
      </c>
      <c r="K805" t="s">
        <v>32</v>
      </c>
      <c r="L805">
        <v>28</v>
      </c>
      <c r="M805" t="str">
        <f t="shared" si="12"/>
        <v>Young Adult</v>
      </c>
      <c r="N805" t="s">
        <v>15</v>
      </c>
    </row>
    <row r="806" spans="1:14" x14ac:dyDescent="0.25">
      <c r="A806">
        <v>13154</v>
      </c>
      <c r="B806" t="s">
        <v>36</v>
      </c>
      <c r="C806" t="s">
        <v>39</v>
      </c>
      <c r="D806" s="5">
        <v>40000</v>
      </c>
      <c r="E806">
        <v>0</v>
      </c>
      <c r="F806" t="s">
        <v>27</v>
      </c>
      <c r="G806" t="s">
        <v>14</v>
      </c>
      <c r="H806" t="s">
        <v>18</v>
      </c>
      <c r="I806">
        <v>2</v>
      </c>
      <c r="J806" t="s">
        <v>16</v>
      </c>
      <c r="K806" t="s">
        <v>32</v>
      </c>
      <c r="L806">
        <v>27</v>
      </c>
      <c r="M806" t="str">
        <f t="shared" si="12"/>
        <v>Young Adult</v>
      </c>
      <c r="N806" t="s">
        <v>15</v>
      </c>
    </row>
    <row r="807" spans="1:14" x14ac:dyDescent="0.25">
      <c r="A807">
        <v>26778</v>
      </c>
      <c r="B807" t="s">
        <v>37</v>
      </c>
      <c r="C807" t="s">
        <v>38</v>
      </c>
      <c r="D807" s="5">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5">
        <v>10000</v>
      </c>
      <c r="E808">
        <v>2</v>
      </c>
      <c r="F808" t="s">
        <v>27</v>
      </c>
      <c r="G808" t="s">
        <v>25</v>
      </c>
      <c r="H808" t="s">
        <v>15</v>
      </c>
      <c r="I808">
        <v>2</v>
      </c>
      <c r="J808" t="s">
        <v>26</v>
      </c>
      <c r="K808" t="s">
        <v>32</v>
      </c>
      <c r="L808">
        <v>53</v>
      </c>
      <c r="M808" t="str">
        <f t="shared" si="12"/>
        <v>Old</v>
      </c>
      <c r="N808" t="s">
        <v>18</v>
      </c>
    </row>
    <row r="809" spans="1:14" x14ac:dyDescent="0.25">
      <c r="A809">
        <v>21417</v>
      </c>
      <c r="B809" t="s">
        <v>37</v>
      </c>
      <c r="C809" t="s">
        <v>38</v>
      </c>
      <c r="D809" s="5">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5">
        <v>30000</v>
      </c>
      <c r="E810">
        <v>2</v>
      </c>
      <c r="F810" t="s">
        <v>27</v>
      </c>
      <c r="G810" t="s">
        <v>14</v>
      </c>
      <c r="H810" t="s">
        <v>15</v>
      </c>
      <c r="I810">
        <v>2</v>
      </c>
      <c r="J810" t="s">
        <v>26</v>
      </c>
      <c r="K810" t="s">
        <v>32</v>
      </c>
      <c r="L810">
        <v>50</v>
      </c>
      <c r="M810" t="str">
        <f t="shared" si="12"/>
        <v>Old</v>
      </c>
      <c r="N810" t="s">
        <v>15</v>
      </c>
    </row>
    <row r="811" spans="1:14" x14ac:dyDescent="0.25">
      <c r="A811">
        <v>27994</v>
      </c>
      <c r="B811" t="s">
        <v>36</v>
      </c>
      <c r="C811" t="s">
        <v>38</v>
      </c>
      <c r="D811" s="5">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5">
        <v>70000</v>
      </c>
      <c r="E812">
        <v>3</v>
      </c>
      <c r="F812" t="s">
        <v>31</v>
      </c>
      <c r="G812" t="s">
        <v>28</v>
      </c>
      <c r="H812" t="s">
        <v>15</v>
      </c>
      <c r="I812">
        <v>2</v>
      </c>
      <c r="J812" t="s">
        <v>23</v>
      </c>
      <c r="K812" t="s">
        <v>32</v>
      </c>
      <c r="L812">
        <v>52</v>
      </c>
      <c r="M812" t="str">
        <f t="shared" si="12"/>
        <v>Old</v>
      </c>
      <c r="N812" t="s">
        <v>15</v>
      </c>
    </row>
    <row r="813" spans="1:14" x14ac:dyDescent="0.25">
      <c r="A813">
        <v>25954</v>
      </c>
      <c r="B813" t="s">
        <v>36</v>
      </c>
      <c r="C813" t="s">
        <v>39</v>
      </c>
      <c r="D813" s="5">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5">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38</v>
      </c>
      <c r="D815" s="5">
        <v>70000</v>
      </c>
      <c r="E815">
        <v>2</v>
      </c>
      <c r="F815" t="s">
        <v>27</v>
      </c>
      <c r="G815" t="s">
        <v>21</v>
      </c>
      <c r="H815" t="s">
        <v>15</v>
      </c>
      <c r="I815">
        <v>2</v>
      </c>
      <c r="J815" t="s">
        <v>46</v>
      </c>
      <c r="K815" t="s">
        <v>32</v>
      </c>
      <c r="L815">
        <v>53</v>
      </c>
      <c r="M815" t="str">
        <f t="shared" si="12"/>
        <v>Old</v>
      </c>
      <c r="N815" t="s">
        <v>18</v>
      </c>
    </row>
    <row r="816" spans="1:14" x14ac:dyDescent="0.25">
      <c r="A816">
        <v>13351</v>
      </c>
      <c r="B816" t="s">
        <v>37</v>
      </c>
      <c r="C816" t="s">
        <v>38</v>
      </c>
      <c r="D816" s="5">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5">
        <v>40000</v>
      </c>
      <c r="E817">
        <v>0</v>
      </c>
      <c r="F817" t="s">
        <v>19</v>
      </c>
      <c r="G817" t="s">
        <v>14</v>
      </c>
      <c r="H817" t="s">
        <v>18</v>
      </c>
      <c r="I817">
        <v>2</v>
      </c>
      <c r="J817" t="s">
        <v>26</v>
      </c>
      <c r="K817" t="s">
        <v>32</v>
      </c>
      <c r="L817">
        <v>30</v>
      </c>
      <c r="M817" t="str">
        <f t="shared" si="12"/>
        <v>Middle Age</v>
      </c>
      <c r="N817" t="s">
        <v>18</v>
      </c>
    </row>
    <row r="818" spans="1:14" x14ac:dyDescent="0.25">
      <c r="A818">
        <v>21660</v>
      </c>
      <c r="B818" t="s">
        <v>36</v>
      </c>
      <c r="C818" t="s">
        <v>38</v>
      </c>
      <c r="D818" s="5">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5">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5">
        <v>40000</v>
      </c>
      <c r="E820">
        <v>0</v>
      </c>
      <c r="F820" t="s">
        <v>19</v>
      </c>
      <c r="G820" t="s">
        <v>14</v>
      </c>
      <c r="H820" t="s">
        <v>15</v>
      </c>
      <c r="I820">
        <v>1</v>
      </c>
      <c r="J820" t="s">
        <v>23</v>
      </c>
      <c r="K820" t="s">
        <v>32</v>
      </c>
      <c r="L820">
        <v>30</v>
      </c>
      <c r="M820" t="str">
        <f t="shared" si="12"/>
        <v>Middle Age</v>
      </c>
      <c r="N820" t="s">
        <v>18</v>
      </c>
    </row>
    <row r="821" spans="1:14" x14ac:dyDescent="0.25">
      <c r="A821">
        <v>27505</v>
      </c>
      <c r="B821" t="s">
        <v>37</v>
      </c>
      <c r="C821" t="s">
        <v>38</v>
      </c>
      <c r="D821" s="5">
        <v>40000</v>
      </c>
      <c r="E821">
        <v>0</v>
      </c>
      <c r="F821" t="s">
        <v>27</v>
      </c>
      <c r="G821" t="s">
        <v>14</v>
      </c>
      <c r="H821" t="s">
        <v>15</v>
      </c>
      <c r="I821">
        <v>2</v>
      </c>
      <c r="J821" t="s">
        <v>23</v>
      </c>
      <c r="K821" t="s">
        <v>32</v>
      </c>
      <c r="L821">
        <v>30</v>
      </c>
      <c r="M821" t="str">
        <f t="shared" si="12"/>
        <v>Middle Age</v>
      </c>
      <c r="N821" t="s">
        <v>18</v>
      </c>
    </row>
    <row r="822" spans="1:14" x14ac:dyDescent="0.25">
      <c r="A822">
        <v>29243</v>
      </c>
      <c r="B822" t="s">
        <v>37</v>
      </c>
      <c r="C822" t="s">
        <v>39</v>
      </c>
      <c r="D822" s="5">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5">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5">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5">
        <v>70000</v>
      </c>
      <c r="E825">
        <v>4</v>
      </c>
      <c r="F825" t="s">
        <v>27</v>
      </c>
      <c r="G825" t="s">
        <v>21</v>
      </c>
      <c r="H825" t="s">
        <v>15</v>
      </c>
      <c r="I825">
        <v>0</v>
      </c>
      <c r="J825" t="s">
        <v>23</v>
      </c>
      <c r="K825" t="s">
        <v>32</v>
      </c>
      <c r="L825">
        <v>50</v>
      </c>
      <c r="M825" t="str">
        <f t="shared" si="12"/>
        <v>Old</v>
      </c>
      <c r="N825" t="s">
        <v>15</v>
      </c>
    </row>
    <row r="826" spans="1:14" x14ac:dyDescent="0.25">
      <c r="A826">
        <v>29048</v>
      </c>
      <c r="B826" t="s">
        <v>37</v>
      </c>
      <c r="C826" t="s">
        <v>39</v>
      </c>
      <c r="D826" s="5">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5">
        <v>70000</v>
      </c>
      <c r="E827">
        <v>3</v>
      </c>
      <c r="F827" t="s">
        <v>27</v>
      </c>
      <c r="G827" t="s">
        <v>21</v>
      </c>
      <c r="H827" t="s">
        <v>18</v>
      </c>
      <c r="I827">
        <v>1</v>
      </c>
      <c r="J827" t="s">
        <v>26</v>
      </c>
      <c r="K827" t="s">
        <v>32</v>
      </c>
      <c r="L827">
        <v>52</v>
      </c>
      <c r="M827" t="str">
        <f t="shared" si="12"/>
        <v>Old</v>
      </c>
      <c r="N827" t="s">
        <v>15</v>
      </c>
    </row>
    <row r="828" spans="1:14" x14ac:dyDescent="0.25">
      <c r="A828">
        <v>15501</v>
      </c>
      <c r="B828" t="s">
        <v>36</v>
      </c>
      <c r="C828" t="s">
        <v>39</v>
      </c>
      <c r="D828" s="5">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5">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5">
        <v>40000</v>
      </c>
      <c r="E830">
        <v>0</v>
      </c>
      <c r="F830" t="s">
        <v>29</v>
      </c>
      <c r="G830" t="s">
        <v>20</v>
      </c>
      <c r="H830" t="s">
        <v>15</v>
      </c>
      <c r="I830">
        <v>2</v>
      </c>
      <c r="J830" t="s">
        <v>23</v>
      </c>
      <c r="K830" t="s">
        <v>32</v>
      </c>
      <c r="L830">
        <v>26</v>
      </c>
      <c r="M830" t="str">
        <f t="shared" si="12"/>
        <v>Young Adult</v>
      </c>
      <c r="N830" t="s">
        <v>18</v>
      </c>
    </row>
    <row r="831" spans="1:14" x14ac:dyDescent="0.25">
      <c r="A831">
        <v>16009</v>
      </c>
      <c r="B831" t="s">
        <v>37</v>
      </c>
      <c r="C831" t="s">
        <v>39</v>
      </c>
      <c r="D831" s="5">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5">
        <v>60000</v>
      </c>
      <c r="E832">
        <v>2</v>
      </c>
      <c r="F832" t="s">
        <v>27</v>
      </c>
      <c r="G832" t="s">
        <v>21</v>
      </c>
      <c r="H832" t="s">
        <v>18</v>
      </c>
      <c r="I832">
        <v>2</v>
      </c>
      <c r="J832" t="s">
        <v>23</v>
      </c>
      <c r="K832" t="s">
        <v>32</v>
      </c>
      <c r="L832">
        <v>51</v>
      </c>
      <c r="M832" t="str">
        <f t="shared" si="12"/>
        <v>Old</v>
      </c>
      <c r="N832" t="s">
        <v>18</v>
      </c>
    </row>
    <row r="833" spans="1:14" x14ac:dyDescent="0.25">
      <c r="A833">
        <v>19163</v>
      </c>
      <c r="B833" t="s">
        <v>36</v>
      </c>
      <c r="C833" t="s">
        <v>38</v>
      </c>
      <c r="D833" s="5">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5">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5">
        <v>70000</v>
      </c>
      <c r="E835">
        <v>0</v>
      </c>
      <c r="F835" t="s">
        <v>13</v>
      </c>
      <c r="G835" t="s">
        <v>21</v>
      </c>
      <c r="H835" t="s">
        <v>18</v>
      </c>
      <c r="I835">
        <v>1</v>
      </c>
      <c r="J835" t="s">
        <v>16</v>
      </c>
      <c r="K835" t="s">
        <v>32</v>
      </c>
      <c r="L835">
        <v>37</v>
      </c>
      <c r="M835" t="str">
        <f t="shared" ref="M835:M898" si="13">IF(L835&gt;=50,"Old",IF(L835&gt;=30,"Middle Age",IF(L835&lt;30,"Young Adult","Invalid")))</f>
        <v>Middle Age</v>
      </c>
      <c r="N835" t="s">
        <v>15</v>
      </c>
    </row>
    <row r="836" spans="1:14" x14ac:dyDescent="0.25">
      <c r="A836">
        <v>19889</v>
      </c>
      <c r="B836" t="s">
        <v>37</v>
      </c>
      <c r="C836" t="s">
        <v>38</v>
      </c>
      <c r="D836" s="5">
        <v>70000</v>
      </c>
      <c r="E836">
        <v>2</v>
      </c>
      <c r="F836" t="s">
        <v>29</v>
      </c>
      <c r="G836" t="s">
        <v>14</v>
      </c>
      <c r="H836" t="s">
        <v>18</v>
      </c>
      <c r="I836">
        <v>2</v>
      </c>
      <c r="J836" t="s">
        <v>22</v>
      </c>
      <c r="K836" t="s">
        <v>32</v>
      </c>
      <c r="L836">
        <v>54</v>
      </c>
      <c r="M836" t="str">
        <f t="shared" si="13"/>
        <v>Old</v>
      </c>
      <c r="N836" t="s">
        <v>15</v>
      </c>
    </row>
    <row r="837" spans="1:14" x14ac:dyDescent="0.25">
      <c r="A837">
        <v>12922</v>
      </c>
      <c r="B837" t="s">
        <v>37</v>
      </c>
      <c r="C837" t="s">
        <v>38</v>
      </c>
      <c r="D837" s="5">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5">
        <v>40000</v>
      </c>
      <c r="E838">
        <v>0</v>
      </c>
      <c r="F838" t="s">
        <v>19</v>
      </c>
      <c r="G838" t="s">
        <v>14</v>
      </c>
      <c r="H838" t="s">
        <v>15</v>
      </c>
      <c r="I838">
        <v>2</v>
      </c>
      <c r="J838" t="s">
        <v>23</v>
      </c>
      <c r="K838" t="s">
        <v>32</v>
      </c>
      <c r="L838">
        <v>28</v>
      </c>
      <c r="M838" t="str">
        <f t="shared" si="13"/>
        <v>Young Adult</v>
      </c>
      <c r="N838" t="s">
        <v>18</v>
      </c>
    </row>
    <row r="839" spans="1:14" x14ac:dyDescent="0.25">
      <c r="A839">
        <v>16773</v>
      </c>
      <c r="B839" t="s">
        <v>36</v>
      </c>
      <c r="C839" t="s">
        <v>39</v>
      </c>
      <c r="D839" s="5">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5">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5">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5">
        <v>70000</v>
      </c>
      <c r="E842">
        <v>4</v>
      </c>
      <c r="F842" t="s">
        <v>19</v>
      </c>
      <c r="G842" t="s">
        <v>21</v>
      </c>
      <c r="H842" t="s">
        <v>15</v>
      </c>
      <c r="I842">
        <v>2</v>
      </c>
      <c r="J842" t="s">
        <v>46</v>
      </c>
      <c r="K842" t="s">
        <v>32</v>
      </c>
      <c r="L842">
        <v>53</v>
      </c>
      <c r="M842" t="str">
        <f t="shared" si="13"/>
        <v>Old</v>
      </c>
      <c r="N842" t="s">
        <v>18</v>
      </c>
    </row>
    <row r="843" spans="1:14" x14ac:dyDescent="0.25">
      <c r="A843">
        <v>12056</v>
      </c>
      <c r="B843" t="s">
        <v>36</v>
      </c>
      <c r="C843" t="s">
        <v>39</v>
      </c>
      <c r="D843" s="5">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5">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5">
        <v>80000</v>
      </c>
      <c r="E845">
        <v>2</v>
      </c>
      <c r="F845" t="s">
        <v>29</v>
      </c>
      <c r="G845" t="s">
        <v>14</v>
      </c>
      <c r="H845" t="s">
        <v>18</v>
      </c>
      <c r="I845">
        <v>2</v>
      </c>
      <c r="J845" t="s">
        <v>26</v>
      </c>
      <c r="K845" t="s">
        <v>32</v>
      </c>
      <c r="L845">
        <v>52</v>
      </c>
      <c r="M845" t="str">
        <f t="shared" si="13"/>
        <v>Old</v>
      </c>
      <c r="N845" t="s">
        <v>18</v>
      </c>
    </row>
    <row r="846" spans="1:14" x14ac:dyDescent="0.25">
      <c r="A846">
        <v>22743</v>
      </c>
      <c r="B846" t="s">
        <v>36</v>
      </c>
      <c r="C846" t="s">
        <v>38</v>
      </c>
      <c r="D846" s="5">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38</v>
      </c>
      <c r="D847" s="5">
        <v>20000</v>
      </c>
      <c r="E847">
        <v>3</v>
      </c>
      <c r="F847" t="s">
        <v>29</v>
      </c>
      <c r="G847" t="s">
        <v>20</v>
      </c>
      <c r="H847" t="s">
        <v>15</v>
      </c>
      <c r="I847">
        <v>2</v>
      </c>
      <c r="J847" t="s">
        <v>26</v>
      </c>
      <c r="K847" t="s">
        <v>32</v>
      </c>
      <c r="L847">
        <v>50</v>
      </c>
      <c r="M847" t="str">
        <f t="shared" si="13"/>
        <v>Old</v>
      </c>
      <c r="N847" t="s">
        <v>18</v>
      </c>
    </row>
    <row r="848" spans="1:14" x14ac:dyDescent="0.25">
      <c r="A848">
        <v>13390</v>
      </c>
      <c r="B848" t="s">
        <v>36</v>
      </c>
      <c r="C848" t="s">
        <v>38</v>
      </c>
      <c r="D848" s="5">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5">
        <v>40000</v>
      </c>
      <c r="E849">
        <v>0</v>
      </c>
      <c r="F849" t="s">
        <v>29</v>
      </c>
      <c r="G849" t="s">
        <v>20</v>
      </c>
      <c r="H849" t="s">
        <v>15</v>
      </c>
      <c r="I849">
        <v>2</v>
      </c>
      <c r="J849" t="s">
        <v>23</v>
      </c>
      <c r="K849" t="s">
        <v>32</v>
      </c>
      <c r="L849">
        <v>29</v>
      </c>
      <c r="M849" t="str">
        <f t="shared" si="13"/>
        <v>Young Adult</v>
      </c>
      <c r="N849" t="s">
        <v>18</v>
      </c>
    </row>
    <row r="850" spans="1:14" x14ac:dyDescent="0.25">
      <c r="A850">
        <v>13176</v>
      </c>
      <c r="B850" t="s">
        <v>37</v>
      </c>
      <c r="C850" t="s">
        <v>39</v>
      </c>
      <c r="D850" s="5">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5">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5">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5">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5">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5">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5">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5">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5">
        <v>40000</v>
      </c>
      <c r="E858">
        <v>0</v>
      </c>
      <c r="F858" t="s">
        <v>19</v>
      </c>
      <c r="G858" t="s">
        <v>14</v>
      </c>
      <c r="H858" t="s">
        <v>15</v>
      </c>
      <c r="I858">
        <v>1</v>
      </c>
      <c r="J858" t="s">
        <v>23</v>
      </c>
      <c r="K858" t="s">
        <v>32</v>
      </c>
      <c r="L858">
        <v>27</v>
      </c>
      <c r="M858" t="str">
        <f t="shared" si="13"/>
        <v>Young Adult</v>
      </c>
      <c r="N858" t="s">
        <v>18</v>
      </c>
    </row>
    <row r="859" spans="1:14" x14ac:dyDescent="0.25">
      <c r="A859">
        <v>11745</v>
      </c>
      <c r="B859" t="s">
        <v>36</v>
      </c>
      <c r="C859" t="s">
        <v>38</v>
      </c>
      <c r="D859" s="5">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5">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5">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5">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5">
        <v>20000</v>
      </c>
      <c r="E863">
        <v>2</v>
      </c>
      <c r="F863" t="s">
        <v>27</v>
      </c>
      <c r="G863" t="s">
        <v>25</v>
      </c>
      <c r="H863" t="s">
        <v>18</v>
      </c>
      <c r="I863">
        <v>2</v>
      </c>
      <c r="J863" t="s">
        <v>26</v>
      </c>
      <c r="K863" t="s">
        <v>32</v>
      </c>
      <c r="L863">
        <v>53</v>
      </c>
      <c r="M863" t="str">
        <f t="shared" si="13"/>
        <v>Old</v>
      </c>
      <c r="N863" t="s">
        <v>15</v>
      </c>
    </row>
    <row r="864" spans="1:14" x14ac:dyDescent="0.25">
      <c r="A864">
        <v>22330</v>
      </c>
      <c r="B864" t="s">
        <v>36</v>
      </c>
      <c r="C864" t="s">
        <v>39</v>
      </c>
      <c r="D864" s="5">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5">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5">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5">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5">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39</v>
      </c>
      <c r="D869" s="5">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5">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38</v>
      </c>
      <c r="D871" s="5">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5">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5">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38</v>
      </c>
      <c r="D874" s="5">
        <v>70000</v>
      </c>
      <c r="E874">
        <v>3</v>
      </c>
      <c r="F874" t="s">
        <v>31</v>
      </c>
      <c r="G874" t="s">
        <v>28</v>
      </c>
      <c r="H874" t="s">
        <v>15</v>
      </c>
      <c r="I874">
        <v>2</v>
      </c>
      <c r="J874" t="s">
        <v>23</v>
      </c>
      <c r="K874" t="s">
        <v>32</v>
      </c>
      <c r="L874">
        <v>53</v>
      </c>
      <c r="M874" t="str">
        <f t="shared" si="13"/>
        <v>Old</v>
      </c>
      <c r="N874" t="s">
        <v>15</v>
      </c>
    </row>
    <row r="875" spans="1:14" x14ac:dyDescent="0.25">
      <c r="A875">
        <v>23197</v>
      </c>
      <c r="B875" t="s">
        <v>36</v>
      </c>
      <c r="C875" t="s">
        <v>39</v>
      </c>
      <c r="D875" s="5">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5">
        <v>30000</v>
      </c>
      <c r="E876">
        <v>1</v>
      </c>
      <c r="F876" t="s">
        <v>13</v>
      </c>
      <c r="G876" t="s">
        <v>14</v>
      </c>
      <c r="H876" t="s">
        <v>15</v>
      </c>
      <c r="I876">
        <v>1</v>
      </c>
      <c r="J876" t="s">
        <v>23</v>
      </c>
      <c r="K876" t="s">
        <v>32</v>
      </c>
      <c r="L876">
        <v>53</v>
      </c>
      <c r="M876" t="str">
        <f t="shared" si="13"/>
        <v>Old</v>
      </c>
      <c r="N876" t="s">
        <v>15</v>
      </c>
    </row>
    <row r="877" spans="1:14" x14ac:dyDescent="0.25">
      <c r="A877">
        <v>27279</v>
      </c>
      <c r="B877" t="s">
        <v>37</v>
      </c>
      <c r="C877" t="s">
        <v>38</v>
      </c>
      <c r="D877" s="5">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5">
        <v>30000</v>
      </c>
      <c r="E878">
        <v>0</v>
      </c>
      <c r="F878" t="s">
        <v>29</v>
      </c>
      <c r="G878" t="s">
        <v>20</v>
      </c>
      <c r="H878" t="s">
        <v>18</v>
      </c>
      <c r="I878">
        <v>2</v>
      </c>
      <c r="J878" t="s">
        <v>16</v>
      </c>
      <c r="K878" t="s">
        <v>32</v>
      </c>
      <c r="L878">
        <v>26</v>
      </c>
      <c r="M878" t="str">
        <f t="shared" si="13"/>
        <v>Young Adult</v>
      </c>
      <c r="N878" t="s">
        <v>18</v>
      </c>
    </row>
    <row r="879" spans="1:14" x14ac:dyDescent="0.25">
      <c r="A879">
        <v>15879</v>
      </c>
      <c r="B879" t="s">
        <v>36</v>
      </c>
      <c r="C879" t="s">
        <v>39</v>
      </c>
      <c r="D879" s="5">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5">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5">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5">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5">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5">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5">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5">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5">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5">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5">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5">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5">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5">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5">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5">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5">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5">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5">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5">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5">
        <v>30000</v>
      </c>
      <c r="E899">
        <v>0</v>
      </c>
      <c r="F899" t="s">
        <v>29</v>
      </c>
      <c r="G899" t="s">
        <v>20</v>
      </c>
      <c r="H899" t="s">
        <v>18</v>
      </c>
      <c r="I899">
        <v>2</v>
      </c>
      <c r="J899" t="s">
        <v>16</v>
      </c>
      <c r="K899" t="s">
        <v>32</v>
      </c>
      <c r="L899">
        <v>28</v>
      </c>
      <c r="M899" t="str">
        <f t="shared" ref="M899:M962" si="14">IF(L899&gt;=50,"Old",IF(L899&gt;=30,"Middle Age",IF(L899&lt;30,"Young Adult","Invalid")))</f>
        <v>Young Adult</v>
      </c>
      <c r="N899" t="s">
        <v>18</v>
      </c>
    </row>
    <row r="900" spans="1:14" x14ac:dyDescent="0.25">
      <c r="A900">
        <v>18066</v>
      </c>
      <c r="B900" t="s">
        <v>37</v>
      </c>
      <c r="C900" t="s">
        <v>39</v>
      </c>
      <c r="D900" s="5">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38</v>
      </c>
      <c r="D901" s="5">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39</v>
      </c>
      <c r="D902" s="5">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5">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5">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5">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5">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5">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5">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5">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39</v>
      </c>
      <c r="D910" s="5">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5">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5">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5">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5">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5">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5">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5">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39</v>
      </c>
      <c r="D918" s="5">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5">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5">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5">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39</v>
      </c>
      <c r="D922" s="5">
        <v>30000</v>
      </c>
      <c r="E922">
        <v>2</v>
      </c>
      <c r="F922" t="s">
        <v>27</v>
      </c>
      <c r="G922" t="s">
        <v>14</v>
      </c>
      <c r="H922" t="s">
        <v>15</v>
      </c>
      <c r="I922">
        <v>2</v>
      </c>
      <c r="J922" t="s">
        <v>26</v>
      </c>
      <c r="K922" t="s">
        <v>32</v>
      </c>
      <c r="L922">
        <v>51</v>
      </c>
      <c r="M922" t="str">
        <f t="shared" si="14"/>
        <v>Old</v>
      </c>
      <c r="N922" t="s">
        <v>18</v>
      </c>
    </row>
    <row r="923" spans="1:14" x14ac:dyDescent="0.25">
      <c r="A923">
        <v>12153</v>
      </c>
      <c r="B923" t="s">
        <v>37</v>
      </c>
      <c r="C923" t="s">
        <v>38</v>
      </c>
      <c r="D923" s="5">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5">
        <v>40000</v>
      </c>
      <c r="E924">
        <v>3</v>
      </c>
      <c r="F924" t="s">
        <v>19</v>
      </c>
      <c r="G924" t="s">
        <v>21</v>
      </c>
      <c r="H924" t="s">
        <v>18</v>
      </c>
      <c r="I924">
        <v>2</v>
      </c>
      <c r="J924" t="s">
        <v>26</v>
      </c>
      <c r="K924" t="s">
        <v>32</v>
      </c>
      <c r="L924">
        <v>54</v>
      </c>
      <c r="M924" t="str">
        <f t="shared" si="14"/>
        <v>Old</v>
      </c>
      <c r="N924" t="s">
        <v>15</v>
      </c>
    </row>
    <row r="925" spans="1:14" x14ac:dyDescent="0.25">
      <c r="A925">
        <v>26728</v>
      </c>
      <c r="B925" t="s">
        <v>37</v>
      </c>
      <c r="C925" t="s">
        <v>39</v>
      </c>
      <c r="D925" s="5">
        <v>70000</v>
      </c>
      <c r="E925">
        <v>3</v>
      </c>
      <c r="F925" t="s">
        <v>31</v>
      </c>
      <c r="G925" t="s">
        <v>28</v>
      </c>
      <c r="H925" t="s">
        <v>18</v>
      </c>
      <c r="I925">
        <v>2</v>
      </c>
      <c r="J925" t="s">
        <v>26</v>
      </c>
      <c r="K925" t="s">
        <v>32</v>
      </c>
      <c r="L925">
        <v>53</v>
      </c>
      <c r="M925" t="str">
        <f t="shared" si="14"/>
        <v>Old</v>
      </c>
      <c r="N925" t="s">
        <v>15</v>
      </c>
    </row>
    <row r="926" spans="1:14" x14ac:dyDescent="0.25">
      <c r="A926">
        <v>11090</v>
      </c>
      <c r="B926" t="s">
        <v>37</v>
      </c>
      <c r="C926" t="s">
        <v>39</v>
      </c>
      <c r="D926" s="5">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5">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5">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38</v>
      </c>
      <c r="D929" s="5">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5">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5">
        <v>60000</v>
      </c>
      <c r="E931">
        <v>2</v>
      </c>
      <c r="F931" t="s">
        <v>27</v>
      </c>
      <c r="G931" t="s">
        <v>21</v>
      </c>
      <c r="H931" t="s">
        <v>15</v>
      </c>
      <c r="I931">
        <v>2</v>
      </c>
      <c r="J931" t="s">
        <v>23</v>
      </c>
      <c r="K931" t="s">
        <v>32</v>
      </c>
      <c r="L931">
        <v>50</v>
      </c>
      <c r="M931" t="str">
        <f t="shared" si="14"/>
        <v>Old</v>
      </c>
      <c r="N931" t="s">
        <v>18</v>
      </c>
    </row>
    <row r="932" spans="1:14" x14ac:dyDescent="0.25">
      <c r="A932">
        <v>19543</v>
      </c>
      <c r="B932" t="s">
        <v>36</v>
      </c>
      <c r="C932" t="s">
        <v>39</v>
      </c>
      <c r="D932" s="5">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38</v>
      </c>
      <c r="D933" s="5">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5">
        <v>40000</v>
      </c>
      <c r="E934">
        <v>0</v>
      </c>
      <c r="F934" t="s">
        <v>27</v>
      </c>
      <c r="G934" t="s">
        <v>14</v>
      </c>
      <c r="H934" t="s">
        <v>18</v>
      </c>
      <c r="I934">
        <v>2</v>
      </c>
      <c r="J934" t="s">
        <v>16</v>
      </c>
      <c r="K934" t="s">
        <v>32</v>
      </c>
      <c r="L934">
        <v>27</v>
      </c>
      <c r="M934" t="str">
        <f t="shared" si="14"/>
        <v>Young Adult</v>
      </c>
      <c r="N934" t="s">
        <v>15</v>
      </c>
    </row>
    <row r="935" spans="1:14" x14ac:dyDescent="0.25">
      <c r="A935">
        <v>11941</v>
      </c>
      <c r="B935" t="s">
        <v>37</v>
      </c>
      <c r="C935" t="s">
        <v>39</v>
      </c>
      <c r="D935" s="5">
        <v>60000</v>
      </c>
      <c r="E935">
        <v>0</v>
      </c>
      <c r="F935" t="s">
        <v>19</v>
      </c>
      <c r="G935" t="s">
        <v>14</v>
      </c>
      <c r="H935" t="s">
        <v>15</v>
      </c>
      <c r="I935">
        <v>0</v>
      </c>
      <c r="J935" t="s">
        <v>23</v>
      </c>
      <c r="K935" t="s">
        <v>32</v>
      </c>
      <c r="L935">
        <v>29</v>
      </c>
      <c r="M935" t="str">
        <f t="shared" si="14"/>
        <v>Young Adult</v>
      </c>
      <c r="N935" t="s">
        <v>18</v>
      </c>
    </row>
    <row r="936" spans="1:14" x14ac:dyDescent="0.25">
      <c r="A936">
        <v>14389</v>
      </c>
      <c r="B936" t="s">
        <v>36</v>
      </c>
      <c r="C936" t="s">
        <v>39</v>
      </c>
      <c r="D936" s="5">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5">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5">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5">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5">
        <v>40000</v>
      </c>
      <c r="E940">
        <v>0</v>
      </c>
      <c r="F940" t="s">
        <v>27</v>
      </c>
      <c r="G940" t="s">
        <v>14</v>
      </c>
      <c r="H940" t="s">
        <v>15</v>
      </c>
      <c r="I940">
        <v>2</v>
      </c>
      <c r="J940" t="s">
        <v>23</v>
      </c>
      <c r="K940" t="s">
        <v>32</v>
      </c>
      <c r="L940">
        <v>27</v>
      </c>
      <c r="M940" t="str">
        <f t="shared" si="14"/>
        <v>Young Adult</v>
      </c>
      <c r="N940" t="s">
        <v>18</v>
      </c>
    </row>
    <row r="941" spans="1:14" x14ac:dyDescent="0.25">
      <c r="A941">
        <v>23455</v>
      </c>
      <c r="B941" t="s">
        <v>37</v>
      </c>
      <c r="C941" t="s">
        <v>39</v>
      </c>
      <c r="D941" s="5">
        <v>80000</v>
      </c>
      <c r="E941">
        <v>2</v>
      </c>
      <c r="F941" t="s">
        <v>29</v>
      </c>
      <c r="G941" t="s">
        <v>14</v>
      </c>
      <c r="H941" t="s">
        <v>18</v>
      </c>
      <c r="I941">
        <v>2</v>
      </c>
      <c r="J941" t="s">
        <v>26</v>
      </c>
      <c r="K941" t="s">
        <v>32</v>
      </c>
      <c r="L941">
        <v>50</v>
      </c>
      <c r="M941" t="str">
        <f t="shared" si="14"/>
        <v>Old</v>
      </c>
      <c r="N941" t="s">
        <v>18</v>
      </c>
    </row>
    <row r="942" spans="1:14" x14ac:dyDescent="0.25">
      <c r="A942">
        <v>15292</v>
      </c>
      <c r="B942" t="s">
        <v>37</v>
      </c>
      <c r="C942" t="s">
        <v>38</v>
      </c>
      <c r="D942" s="5">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5">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5">
        <v>40000</v>
      </c>
      <c r="E944">
        <v>3</v>
      </c>
      <c r="F944" t="s">
        <v>19</v>
      </c>
      <c r="G944" t="s">
        <v>21</v>
      </c>
      <c r="H944" t="s">
        <v>15</v>
      </c>
      <c r="I944">
        <v>2</v>
      </c>
      <c r="J944" t="s">
        <v>23</v>
      </c>
      <c r="K944" t="s">
        <v>32</v>
      </c>
      <c r="L944">
        <v>54</v>
      </c>
      <c r="M944" t="str">
        <f t="shared" si="14"/>
        <v>Old</v>
      </c>
      <c r="N944" t="s">
        <v>18</v>
      </c>
    </row>
    <row r="945" spans="1:14" x14ac:dyDescent="0.25">
      <c r="A945">
        <v>24322</v>
      </c>
      <c r="B945" t="s">
        <v>36</v>
      </c>
      <c r="C945" t="s">
        <v>38</v>
      </c>
      <c r="D945" s="5">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5">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5">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5">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5">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5">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5">
        <v>70000</v>
      </c>
      <c r="E951">
        <v>2</v>
      </c>
      <c r="F951" t="s">
        <v>29</v>
      </c>
      <c r="G951" t="s">
        <v>14</v>
      </c>
      <c r="H951" t="s">
        <v>15</v>
      </c>
      <c r="I951">
        <v>2</v>
      </c>
      <c r="J951" t="s">
        <v>46</v>
      </c>
      <c r="K951" t="s">
        <v>32</v>
      </c>
      <c r="L951">
        <v>53</v>
      </c>
      <c r="M951" t="str">
        <f t="shared" si="14"/>
        <v>Old</v>
      </c>
      <c r="N951" t="s">
        <v>18</v>
      </c>
    </row>
    <row r="952" spans="1:14" x14ac:dyDescent="0.25">
      <c r="A952">
        <v>11788</v>
      </c>
      <c r="B952" t="s">
        <v>37</v>
      </c>
      <c r="C952" t="s">
        <v>38</v>
      </c>
      <c r="D952" s="5">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5">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5">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5">
        <v>40000</v>
      </c>
      <c r="E955">
        <v>3</v>
      </c>
      <c r="F955" t="s">
        <v>19</v>
      </c>
      <c r="G955" t="s">
        <v>20</v>
      </c>
      <c r="H955" t="s">
        <v>15</v>
      </c>
      <c r="I955">
        <v>1</v>
      </c>
      <c r="J955" t="s">
        <v>26</v>
      </c>
      <c r="K955" t="s">
        <v>32</v>
      </c>
      <c r="L955">
        <v>30</v>
      </c>
      <c r="M955" t="str">
        <f t="shared" si="14"/>
        <v>Middle Age</v>
      </c>
      <c r="N955" t="s">
        <v>15</v>
      </c>
    </row>
    <row r="956" spans="1:14" x14ac:dyDescent="0.25">
      <c r="A956">
        <v>14662</v>
      </c>
      <c r="B956" t="s">
        <v>36</v>
      </c>
      <c r="C956" t="s">
        <v>39</v>
      </c>
      <c r="D956" s="5">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5">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5">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5">
        <v>60000</v>
      </c>
      <c r="E959">
        <v>0</v>
      </c>
      <c r="F959" t="s">
        <v>19</v>
      </c>
      <c r="G959" t="s">
        <v>21</v>
      </c>
      <c r="H959" t="s">
        <v>15</v>
      </c>
      <c r="I959">
        <v>2</v>
      </c>
      <c r="J959" t="s">
        <v>23</v>
      </c>
      <c r="K959" t="s">
        <v>32</v>
      </c>
      <c r="L959">
        <v>30</v>
      </c>
      <c r="M959" t="str">
        <f t="shared" si="14"/>
        <v>Middle Age</v>
      </c>
      <c r="N959" t="s">
        <v>18</v>
      </c>
    </row>
    <row r="960" spans="1:14" x14ac:dyDescent="0.25">
      <c r="A960">
        <v>21940</v>
      </c>
      <c r="B960" t="s">
        <v>36</v>
      </c>
      <c r="C960" t="s">
        <v>39</v>
      </c>
      <c r="D960" s="5">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5">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5">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5">
        <v>120000</v>
      </c>
      <c r="E963">
        <v>2</v>
      </c>
      <c r="F963" t="s">
        <v>13</v>
      </c>
      <c r="G963" t="s">
        <v>28</v>
      </c>
      <c r="H963" t="s">
        <v>15</v>
      </c>
      <c r="I963">
        <v>3</v>
      </c>
      <c r="J963" t="s">
        <v>23</v>
      </c>
      <c r="K963" t="s">
        <v>32</v>
      </c>
      <c r="L963">
        <v>62</v>
      </c>
      <c r="M963" t="str">
        <f t="shared" ref="M963:M1001" si="15">IF(L963&gt;=50,"Old",IF(L963&gt;=30,"Middle Age",IF(L963&lt;30,"Young Adult","Invalid")))</f>
        <v>Old</v>
      </c>
      <c r="N963" t="s">
        <v>18</v>
      </c>
    </row>
    <row r="964" spans="1:14" x14ac:dyDescent="0.25">
      <c r="A964">
        <v>16813</v>
      </c>
      <c r="B964" t="s">
        <v>36</v>
      </c>
      <c r="C964" t="s">
        <v>39</v>
      </c>
      <c r="D964" s="5">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38</v>
      </c>
      <c r="D965" s="5">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5">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38</v>
      </c>
      <c r="D967" s="5">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5">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5">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5">
        <v>30000</v>
      </c>
      <c r="E970">
        <v>0</v>
      </c>
      <c r="F970" t="s">
        <v>29</v>
      </c>
      <c r="G970" t="s">
        <v>20</v>
      </c>
      <c r="H970" t="s">
        <v>18</v>
      </c>
      <c r="I970">
        <v>2</v>
      </c>
      <c r="J970" t="s">
        <v>23</v>
      </c>
      <c r="K970" t="s">
        <v>32</v>
      </c>
      <c r="L970">
        <v>27</v>
      </c>
      <c r="M970" t="str">
        <f t="shared" si="15"/>
        <v>Young Adult</v>
      </c>
      <c r="N970" t="s">
        <v>18</v>
      </c>
    </row>
    <row r="971" spans="1:14" x14ac:dyDescent="0.25">
      <c r="A971">
        <v>29037</v>
      </c>
      <c r="B971" t="s">
        <v>36</v>
      </c>
      <c r="C971" t="s">
        <v>39</v>
      </c>
      <c r="D971" s="5">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5">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5">
        <v>60000</v>
      </c>
      <c r="E973">
        <v>2</v>
      </c>
      <c r="F973" t="s">
        <v>29</v>
      </c>
      <c r="G973" t="s">
        <v>14</v>
      </c>
      <c r="H973" t="s">
        <v>18</v>
      </c>
      <c r="I973">
        <v>2</v>
      </c>
      <c r="J973" t="s">
        <v>26</v>
      </c>
      <c r="K973" t="s">
        <v>32</v>
      </c>
      <c r="L973">
        <v>51</v>
      </c>
      <c r="M973" t="str">
        <f t="shared" si="15"/>
        <v>Old</v>
      </c>
      <c r="N973" t="s">
        <v>18</v>
      </c>
    </row>
    <row r="974" spans="1:14" x14ac:dyDescent="0.25">
      <c r="A974">
        <v>14887</v>
      </c>
      <c r="B974" t="s">
        <v>36</v>
      </c>
      <c r="C974" t="s">
        <v>38</v>
      </c>
      <c r="D974" s="5">
        <v>30000</v>
      </c>
      <c r="E974">
        <v>1</v>
      </c>
      <c r="F974" t="s">
        <v>27</v>
      </c>
      <c r="G974" t="s">
        <v>20</v>
      </c>
      <c r="H974" t="s">
        <v>15</v>
      </c>
      <c r="I974">
        <v>1</v>
      </c>
      <c r="J974" t="s">
        <v>23</v>
      </c>
      <c r="K974" t="s">
        <v>32</v>
      </c>
      <c r="L974">
        <v>52</v>
      </c>
      <c r="M974" t="str">
        <f t="shared" si="15"/>
        <v>Old</v>
      </c>
      <c r="N974" t="s">
        <v>18</v>
      </c>
    </row>
    <row r="975" spans="1:14" x14ac:dyDescent="0.25">
      <c r="A975">
        <v>11734</v>
      </c>
      <c r="B975" t="s">
        <v>36</v>
      </c>
      <c r="C975" t="s">
        <v>39</v>
      </c>
      <c r="D975" s="5">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5">
        <v>70000</v>
      </c>
      <c r="E976">
        <v>3</v>
      </c>
      <c r="F976" t="s">
        <v>31</v>
      </c>
      <c r="G976" t="s">
        <v>28</v>
      </c>
      <c r="H976" t="s">
        <v>15</v>
      </c>
      <c r="I976">
        <v>2</v>
      </c>
      <c r="J976" t="s">
        <v>23</v>
      </c>
      <c r="K976" t="s">
        <v>32</v>
      </c>
      <c r="L976">
        <v>53</v>
      </c>
      <c r="M976" t="str">
        <f t="shared" si="15"/>
        <v>Old</v>
      </c>
      <c r="N976" t="s">
        <v>15</v>
      </c>
    </row>
    <row r="977" spans="1:14" x14ac:dyDescent="0.25">
      <c r="A977">
        <v>20659</v>
      </c>
      <c r="B977" t="s">
        <v>36</v>
      </c>
      <c r="C977" t="s">
        <v>39</v>
      </c>
      <c r="D977" s="5">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5">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38</v>
      </c>
      <c r="D979" s="5">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5">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5">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5">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39</v>
      </c>
      <c r="D983" s="5">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5">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5">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5">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5">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5">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38</v>
      </c>
      <c r="D989" s="5">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39</v>
      </c>
      <c r="D990" s="5">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39</v>
      </c>
      <c r="D991" s="5">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38</v>
      </c>
      <c r="D992" s="5">
        <v>30000</v>
      </c>
      <c r="E992">
        <v>0</v>
      </c>
      <c r="F992" t="s">
        <v>27</v>
      </c>
      <c r="G992" t="s">
        <v>14</v>
      </c>
      <c r="H992" t="s">
        <v>18</v>
      </c>
      <c r="I992">
        <v>2</v>
      </c>
      <c r="J992" t="s">
        <v>23</v>
      </c>
      <c r="K992" t="s">
        <v>32</v>
      </c>
      <c r="L992">
        <v>26</v>
      </c>
      <c r="M992" t="str">
        <f t="shared" si="15"/>
        <v>Young Adult</v>
      </c>
      <c r="N992" t="s">
        <v>18</v>
      </c>
    </row>
    <row r="993" spans="1:14" x14ac:dyDescent="0.25">
      <c r="A993">
        <v>19117</v>
      </c>
      <c r="B993" t="s">
        <v>37</v>
      </c>
      <c r="C993" t="s">
        <v>38</v>
      </c>
      <c r="D993" s="5">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5">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5">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5">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5">
        <v>60000</v>
      </c>
      <c r="E997" s="2">
        <v>2</v>
      </c>
      <c r="F997" t="s">
        <v>27</v>
      </c>
      <c r="G997" t="s">
        <v>21</v>
      </c>
      <c r="H997" t="s">
        <v>15</v>
      </c>
      <c r="I997">
        <v>2</v>
      </c>
      <c r="J997" t="s">
        <v>22</v>
      </c>
      <c r="K997" t="s">
        <v>32</v>
      </c>
      <c r="L997">
        <v>54</v>
      </c>
      <c r="M997" t="str">
        <f t="shared" si="15"/>
        <v>Old</v>
      </c>
      <c r="N997" t="s">
        <v>15</v>
      </c>
    </row>
    <row r="998" spans="1:14" x14ac:dyDescent="0.25">
      <c r="A998">
        <v>28672</v>
      </c>
      <c r="B998" t="s">
        <v>37</v>
      </c>
      <c r="C998" t="s">
        <v>39</v>
      </c>
      <c r="D998" s="5">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5">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5">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5">
        <v>60000</v>
      </c>
      <c r="E1001">
        <v>3</v>
      </c>
      <c r="F1001" t="s">
        <v>27</v>
      </c>
      <c r="G1001" t="s">
        <v>21</v>
      </c>
      <c r="H1001" t="s">
        <v>15</v>
      </c>
      <c r="I1001">
        <v>2</v>
      </c>
      <c r="J1001" t="s">
        <v>46</v>
      </c>
      <c r="K1001" t="s">
        <v>32</v>
      </c>
      <c r="L1001">
        <v>53</v>
      </c>
      <c r="M1001" t="str">
        <f t="shared" si="15"/>
        <v>Old</v>
      </c>
      <c r="N1001" t="s">
        <v>15</v>
      </c>
    </row>
  </sheetData>
  <autoFilter ref="A1:N1" xr:uid="{3B243B17-CE92-4123-B7BA-A57901B4106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6967B-D41F-48D9-AF75-5E913ADFDA9F}">
  <dimension ref="A3:D40"/>
  <sheetViews>
    <sheetView topLeftCell="A13" workbookViewId="0">
      <selection activeCell="D3" sqref="D3"/>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3" spans="1:4" x14ac:dyDescent="0.25">
      <c r="A3" s="6" t="s">
        <v>41</v>
      </c>
      <c r="B3" s="6" t="s">
        <v>42</v>
      </c>
    </row>
    <row r="4" spans="1:4" x14ac:dyDescent="0.25">
      <c r="A4" s="6" t="s">
        <v>44</v>
      </c>
      <c r="B4" t="s">
        <v>18</v>
      </c>
      <c r="C4" t="s">
        <v>15</v>
      </c>
      <c r="D4" t="s">
        <v>43</v>
      </c>
    </row>
    <row r="5" spans="1:4" x14ac:dyDescent="0.25">
      <c r="A5" s="7" t="s">
        <v>38</v>
      </c>
      <c r="B5" s="5">
        <v>53440</v>
      </c>
      <c r="C5" s="5">
        <v>55774.058577405856</v>
      </c>
      <c r="D5" s="5">
        <v>54580.777096114522</v>
      </c>
    </row>
    <row r="6" spans="1:4" x14ac:dyDescent="0.25">
      <c r="A6" s="7" t="s">
        <v>39</v>
      </c>
      <c r="B6" s="5">
        <v>56208.178438661707</v>
      </c>
      <c r="C6" s="5">
        <v>60123.966942148763</v>
      </c>
      <c r="D6" s="5">
        <v>58062.62230919765</v>
      </c>
    </row>
    <row r="7" spans="1:4" x14ac:dyDescent="0.25">
      <c r="A7" s="7" t="s">
        <v>43</v>
      </c>
      <c r="B7" s="5">
        <v>54874.759152215796</v>
      </c>
      <c r="C7" s="5">
        <v>57962.577962577961</v>
      </c>
      <c r="D7" s="5">
        <v>56360</v>
      </c>
    </row>
    <row r="19" spans="1:4" x14ac:dyDescent="0.25">
      <c r="A19" s="6" t="s">
        <v>45</v>
      </c>
      <c r="B19" s="6" t="s">
        <v>42</v>
      </c>
    </row>
    <row r="20" spans="1:4" x14ac:dyDescent="0.25">
      <c r="A20" s="6" t="s">
        <v>44</v>
      </c>
      <c r="B20" t="s">
        <v>18</v>
      </c>
      <c r="C20" t="s">
        <v>15</v>
      </c>
      <c r="D20" t="s">
        <v>43</v>
      </c>
    </row>
    <row r="21" spans="1:4" x14ac:dyDescent="0.25">
      <c r="A21" s="7" t="s">
        <v>16</v>
      </c>
      <c r="B21" s="11">
        <v>166</v>
      </c>
      <c r="C21" s="11">
        <v>200</v>
      </c>
      <c r="D21" s="11">
        <v>366</v>
      </c>
    </row>
    <row r="22" spans="1:4" x14ac:dyDescent="0.25">
      <c r="A22" s="7" t="s">
        <v>26</v>
      </c>
      <c r="B22" s="11">
        <v>92</v>
      </c>
      <c r="C22" s="11">
        <v>77</v>
      </c>
      <c r="D22" s="11">
        <v>169</v>
      </c>
    </row>
    <row r="23" spans="1:4" x14ac:dyDescent="0.25">
      <c r="A23" s="7" t="s">
        <v>22</v>
      </c>
      <c r="B23" s="11">
        <v>67</v>
      </c>
      <c r="C23" s="11">
        <v>95</v>
      </c>
      <c r="D23" s="11">
        <v>162</v>
      </c>
    </row>
    <row r="24" spans="1:4" x14ac:dyDescent="0.25">
      <c r="A24" s="7" t="s">
        <v>23</v>
      </c>
      <c r="B24" s="11">
        <v>116</v>
      </c>
      <c r="C24" s="11">
        <v>76</v>
      </c>
      <c r="D24" s="11">
        <v>192</v>
      </c>
    </row>
    <row r="25" spans="1:4" x14ac:dyDescent="0.25">
      <c r="A25" s="7" t="s">
        <v>46</v>
      </c>
      <c r="B25" s="11">
        <v>78</v>
      </c>
      <c r="C25" s="11">
        <v>33</v>
      </c>
      <c r="D25" s="11">
        <v>111</v>
      </c>
    </row>
    <row r="26" spans="1:4" x14ac:dyDescent="0.25">
      <c r="A26" s="7" t="s">
        <v>43</v>
      </c>
      <c r="B26" s="11">
        <v>519</v>
      </c>
      <c r="C26" s="11">
        <v>481</v>
      </c>
      <c r="D26" s="11">
        <v>1000</v>
      </c>
    </row>
    <row r="35" spans="1:4" x14ac:dyDescent="0.25">
      <c r="A35" s="6" t="s">
        <v>45</v>
      </c>
      <c r="B35" s="6" t="s">
        <v>42</v>
      </c>
    </row>
    <row r="36" spans="1:4" x14ac:dyDescent="0.25">
      <c r="A36" s="6" t="s">
        <v>44</v>
      </c>
      <c r="B36" t="s">
        <v>18</v>
      </c>
      <c r="C36" t="s">
        <v>15</v>
      </c>
      <c r="D36" t="s">
        <v>43</v>
      </c>
    </row>
    <row r="37" spans="1:4" x14ac:dyDescent="0.25">
      <c r="A37" s="7" t="s">
        <v>47</v>
      </c>
      <c r="B37" s="11">
        <v>293</v>
      </c>
      <c r="C37" s="11">
        <v>324</v>
      </c>
      <c r="D37" s="11">
        <v>617</v>
      </c>
    </row>
    <row r="38" spans="1:4" x14ac:dyDescent="0.25">
      <c r="A38" s="7" t="s">
        <v>48</v>
      </c>
      <c r="B38" s="11">
        <v>178</v>
      </c>
      <c r="C38" s="11">
        <v>122</v>
      </c>
      <c r="D38" s="11">
        <v>300</v>
      </c>
    </row>
    <row r="39" spans="1:4" x14ac:dyDescent="0.25">
      <c r="A39" s="7" t="s">
        <v>49</v>
      </c>
      <c r="B39" s="11">
        <v>48</v>
      </c>
      <c r="C39" s="11">
        <v>35</v>
      </c>
      <c r="D39" s="11">
        <v>83</v>
      </c>
    </row>
    <row r="40" spans="1:4" x14ac:dyDescent="0.25">
      <c r="A40" s="7" t="s">
        <v>43</v>
      </c>
      <c r="B40" s="11">
        <v>519</v>
      </c>
      <c r="C40" s="11">
        <v>481</v>
      </c>
      <c r="D40" s="11">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0C0EE-99F4-4AB3-A27D-6F5E8FFD9D26}">
  <dimension ref="A1:N5"/>
  <sheetViews>
    <sheetView showGridLines="0" tabSelected="1" topLeftCell="A4" zoomScale="89" zoomScaleNormal="89" workbookViewId="0">
      <selection activeCell="U12" sqref="U12"/>
    </sheetView>
  </sheetViews>
  <sheetFormatPr defaultRowHeight="15" x14ac:dyDescent="0.25"/>
  <sheetData>
    <row r="1" spans="1:14" ht="15" customHeight="1" x14ac:dyDescent="0.25">
      <c r="A1" s="9" t="s">
        <v>50</v>
      </c>
      <c r="B1" s="10"/>
      <c r="C1" s="10"/>
      <c r="D1" s="10"/>
      <c r="E1" s="10"/>
      <c r="F1" s="10"/>
      <c r="G1" s="10"/>
      <c r="H1" s="10"/>
      <c r="I1" s="10"/>
      <c r="J1" s="10"/>
      <c r="K1" s="10"/>
      <c r="L1" s="8"/>
      <c r="M1" s="8"/>
      <c r="N1" s="8"/>
    </row>
    <row r="2" spans="1:14" ht="15" customHeight="1" x14ac:dyDescent="0.25">
      <c r="A2" s="10"/>
      <c r="B2" s="10"/>
      <c r="C2" s="10"/>
      <c r="D2" s="10"/>
      <c r="E2" s="10"/>
      <c r="F2" s="10"/>
      <c r="G2" s="10"/>
      <c r="H2" s="10"/>
      <c r="I2" s="10"/>
      <c r="J2" s="10"/>
      <c r="K2" s="10"/>
      <c r="L2" s="8"/>
      <c r="M2" s="8"/>
      <c r="N2" s="8"/>
    </row>
    <row r="3" spans="1:14" ht="15" customHeight="1" x14ac:dyDescent="0.25">
      <c r="A3" s="10"/>
      <c r="B3" s="10"/>
      <c r="C3" s="10"/>
      <c r="D3" s="10"/>
      <c r="E3" s="10"/>
      <c r="F3" s="10"/>
      <c r="G3" s="10"/>
      <c r="H3" s="10"/>
      <c r="I3" s="10"/>
      <c r="J3" s="10"/>
      <c r="K3" s="10"/>
      <c r="L3" s="8"/>
      <c r="M3" s="8"/>
      <c r="N3" s="8"/>
    </row>
    <row r="4" spans="1:14" ht="15" customHeight="1" x14ac:dyDescent="0.25">
      <c r="A4" s="10"/>
      <c r="B4" s="10"/>
      <c r="C4" s="10"/>
      <c r="D4" s="10"/>
      <c r="E4" s="10"/>
      <c r="F4" s="10"/>
      <c r="G4" s="10"/>
      <c r="H4" s="10"/>
      <c r="I4" s="10"/>
      <c r="J4" s="10"/>
      <c r="K4" s="10"/>
      <c r="L4" s="8"/>
      <c r="M4" s="8"/>
      <c r="N4" s="8"/>
    </row>
    <row r="5" spans="1:14" ht="15" customHeight="1" x14ac:dyDescent="0.25">
      <c r="A5" s="10"/>
      <c r="B5" s="10"/>
      <c r="C5" s="10"/>
      <c r="D5" s="10"/>
      <c r="E5" s="10"/>
      <c r="F5" s="10"/>
      <c r="G5" s="10"/>
      <c r="H5" s="10"/>
      <c r="I5" s="10"/>
      <c r="J5" s="10"/>
      <c r="K5" s="10"/>
      <c r="L5" s="8"/>
      <c r="M5" s="8"/>
      <c r="N5" s="8"/>
    </row>
  </sheetData>
  <mergeCells count="1">
    <mergeCell ref="A1:K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Samkelisiwe Mtsweni</cp:lastModifiedBy>
  <dcterms:created xsi:type="dcterms:W3CDTF">2022-03-18T02:50:57Z</dcterms:created>
  <dcterms:modified xsi:type="dcterms:W3CDTF">2025-11-11T11:32:39Z</dcterms:modified>
</cp:coreProperties>
</file>